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Users\ACE\Downloads\"/>
    </mc:Choice>
  </mc:AlternateContent>
  <xr:revisionPtr revIDLastSave="0" documentId="13_ncr:1_{202F64C9-1428-4E32-83A4-42F1671F0A93}" xr6:coauthVersionLast="47" xr6:coauthVersionMax="47" xr10:uidLastSave="{00000000-0000-0000-0000-000000000000}"/>
  <bookViews>
    <workbookView xWindow="-120" yWindow="-120" windowWidth="29040" windowHeight="16440" xr2:uid="{BE042471-1753-4BDB-A7F1-E1586FC78817}"/>
  </bookViews>
  <sheets>
    <sheet name="2026 PAYSLIP" sheetId="1" r:id="rId1"/>
  </sheets>
  <externalReferences>
    <externalReference r:id="rId2"/>
    <externalReference r:id="rId3"/>
    <externalReference r:id="rId4"/>
    <externalReference r:id="rId5"/>
    <externalReference r:id="rId6"/>
    <externalReference r:id="rId7"/>
  </externalReferences>
  <definedNames>
    <definedName name="Acctg_rule">[1]Acctg_Rule_ID!$M$2:$M$13</definedName>
    <definedName name="customer">[2]Customer_ID!$C$2:$C$8538</definedName>
    <definedName name="_xlnm.Database" localSheetId="0">#REF!</definedName>
    <definedName name="_xlnm.Database">#REF!</definedName>
    <definedName name="ListPaymentMode">[3]LookUps!$B$2:$B$7</definedName>
    <definedName name="ListRelationShips">[3]LookUps!$A$2:$A$7</definedName>
    <definedName name="LstCivilStatus">[4]LookUp!$C$2:$C$7</definedName>
    <definedName name="LstGender">[4]LookUp!$B$2:$B$3</definedName>
    <definedName name="LstPaymentMode">[5]LookUp!$D$2:$D$7</definedName>
    <definedName name="LstRelationship">[6]LookUp!$A$2:$A$8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1" i="1" l="1"/>
  <c r="X41" i="1"/>
  <c r="L41" i="1"/>
  <c r="L34" i="1"/>
  <c r="L31" i="1"/>
  <c r="L30" i="1"/>
  <c r="L26" i="1"/>
  <c r="L23" i="1"/>
  <c r="L22" i="1"/>
  <c r="L21" i="1"/>
  <c r="L20" i="1"/>
  <c r="L19" i="1"/>
  <c r="L18" i="1"/>
  <c r="X17" i="1"/>
  <c r="L17" i="1"/>
  <c r="X16" i="1"/>
  <c r="L15" i="1"/>
  <c r="X19" i="1" l="1"/>
  <c r="L35" i="1"/>
  <c r="L24" i="1"/>
  <c r="L43" i="1" l="1"/>
  <c r="X21" i="1" s="1"/>
  <c r="X43" i="1" s="1"/>
  <c r="AH4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CLCARLOS</author>
  </authors>
  <commentList>
    <comment ref="V10" authorId="0" shapeId="0" xr:uid="{E63017B8-58A3-4115-8EFE-0C86176B75C8}">
      <text>
        <r>
          <rPr>
            <b/>
            <sz val="9"/>
            <color indexed="81"/>
            <rFont val="Tahoma"/>
            <family val="2"/>
          </rPr>
          <t>CLCARLOS:</t>
        </r>
        <r>
          <rPr>
            <sz val="9"/>
            <color indexed="81"/>
            <rFont val="Tahoma"/>
            <family val="2"/>
          </rPr>
          <t xml:space="preserve">
Regular (6mos): AUG 2025</t>
        </r>
      </text>
    </comment>
  </commentList>
</comments>
</file>

<file path=xl/sharedStrings.xml><?xml version="1.0" encoding="utf-8"?>
<sst xmlns="http://schemas.openxmlformats.org/spreadsheetml/2006/main" count="105" uniqueCount="89">
  <si>
    <t xml:space="preserve">     </t>
  </si>
  <si>
    <t>EMPLOYEE NAME</t>
  </si>
  <si>
    <t>DEPARTMENT</t>
  </si>
  <si>
    <t>PERIOD STARTING</t>
  </si>
  <si>
    <t>Jan. 01, 2026</t>
  </si>
  <si>
    <t>EMPLOYEE ID</t>
  </si>
  <si>
    <t>DESIGNATION</t>
  </si>
  <si>
    <t>PERIOD ENDING</t>
  </si>
  <si>
    <t>Jan. 15, 2026</t>
  </si>
  <si>
    <t>BASIC RATE PER DAY</t>
  </si>
  <si>
    <t>EMP. STATUS</t>
  </si>
  <si>
    <t>Regular (6mos JULY 2025)</t>
  </si>
  <si>
    <t>PAYMENT DATE</t>
  </si>
  <si>
    <t>Number of Regular Worked days</t>
  </si>
  <si>
    <t>DATE HIRED</t>
  </si>
  <si>
    <t>PAYROLL FREQUENCY</t>
  </si>
  <si>
    <t>SEMI-MONTHLY</t>
  </si>
  <si>
    <t>EARNINGS / INCOME</t>
  </si>
  <si>
    <t>DEDUCTIONS</t>
  </si>
  <si>
    <t>PERSONAL DEDUCTIONS</t>
  </si>
  <si>
    <t>BASIC</t>
  </si>
  <si>
    <t>TIME &amp; ATTENDANCE</t>
  </si>
  <si>
    <t>OT/HOLIDAY PAY:</t>
  </si>
  <si>
    <t>No. of Hr.</t>
  </si>
  <si>
    <t>• Tardiness</t>
  </si>
  <si>
    <t>• Paluwagan - A</t>
  </si>
  <si>
    <t>• Regular OT  (25%)</t>
  </si>
  <si>
    <t>• Undertime</t>
  </si>
  <si>
    <t>• Paluwagan - B</t>
  </si>
  <si>
    <t>Reg. OT ND</t>
  </si>
  <si>
    <t>• Adjustments</t>
  </si>
  <si>
    <t>• Paluwagan - C</t>
  </si>
  <si>
    <t>• SNWH/Sun/RD  (130%)</t>
  </si>
  <si>
    <t>DTR TOTAL DEDUCTION:</t>
  </si>
  <si>
    <t>• Paluwagan - D</t>
  </si>
  <si>
    <t>SH/RD/Sun ND:</t>
  </si>
  <si>
    <t>• Paluwagan - E</t>
  </si>
  <si>
    <t>• RH (100%)</t>
  </si>
  <si>
    <t>GROSS PAY:</t>
  </si>
  <si>
    <t>• Paluwagan - F (JAN to JULY)</t>
  </si>
  <si>
    <t>RH-NDIFF:</t>
  </si>
  <si>
    <t>• Paluwagan - G (JAN to JULY)</t>
  </si>
  <si>
    <t>• CMS OT - 30% only</t>
  </si>
  <si>
    <t>MANDATORY CONTRIBUTIONS:</t>
  </si>
  <si>
    <t>• GADGETS</t>
  </si>
  <si>
    <t>TOTAL OT PAY:</t>
  </si>
  <si>
    <t>• SSS EE</t>
  </si>
  <si>
    <t>ALLOWANCES</t>
  </si>
  <si>
    <t>• SSS WISP</t>
  </si>
  <si>
    <t>• APPLIANCE</t>
  </si>
  <si>
    <t xml:space="preserve">• Daily  </t>
  </si>
  <si>
    <t>/13 days</t>
  </si>
  <si>
    <t>• PHILHEALTH EE</t>
  </si>
  <si>
    <t>• Manager/Head/Supervisor</t>
  </si>
  <si>
    <t xml:space="preserve">• PAG-IBIG EE </t>
  </si>
  <si>
    <t>• COOP</t>
  </si>
  <si>
    <t xml:space="preserve">• Special Task </t>
  </si>
  <si>
    <t>• Special Allowance</t>
  </si>
  <si>
    <t>LOANS:</t>
  </si>
  <si>
    <t xml:space="preserve">• BCP </t>
  </si>
  <si>
    <t>(200/day)</t>
  </si>
  <si>
    <t>• SSS</t>
  </si>
  <si>
    <r>
      <t>• CMS</t>
    </r>
    <r>
      <rPr>
        <sz val="5"/>
        <color theme="1" tint="0.249977111117893"/>
        <rFont val="Aptos Narrow"/>
        <family val="2"/>
      </rPr>
      <t xml:space="preserve"> HO</t>
    </r>
  </si>
  <si>
    <t>(150/NS)</t>
  </si>
  <si>
    <t>• Salary Loan</t>
  </si>
  <si>
    <t>• Donation</t>
  </si>
  <si>
    <t>• Others:</t>
  </si>
  <si>
    <t xml:space="preserve">• Calamity Loan </t>
  </si>
  <si>
    <t>• Contribution</t>
  </si>
  <si>
    <t xml:space="preserve">ADJ: </t>
  </si>
  <si>
    <t>• PAG-IBIG</t>
  </si>
  <si>
    <t xml:space="preserve">• Others </t>
  </si>
  <si>
    <t>OTHERS:</t>
  </si>
  <si>
    <t>• Multi-Purpose Loan</t>
  </si>
  <si>
    <t>TOTAL ALLOWANCE :</t>
  </si>
  <si>
    <t>INCENTIVES</t>
  </si>
  <si>
    <t xml:space="preserve">• Attendance &amp; Punctuality </t>
  </si>
  <si>
    <t>WITHHOLDING TAX</t>
  </si>
  <si>
    <t>• Others</t>
  </si>
  <si>
    <t>HMO</t>
  </si>
  <si>
    <t>TOTAL INCENTIVES :</t>
  </si>
  <si>
    <t>TOTAL DEDUCTION:</t>
  </si>
  <si>
    <t>TOTAL PERSONAL DEDUCTION:</t>
  </si>
  <si>
    <t>GROSS SUB-TOTAL PAY:</t>
  </si>
  <si>
    <t>NET SUB-TOTAL:</t>
  </si>
  <si>
    <t>FINAL NET PAY:</t>
  </si>
  <si>
    <t xml:space="preserve">CONFIDENTIALITY NOTICE: 
</t>
  </si>
  <si>
    <t xml:space="preserve">    This message and its contents are confidential and are subject to restrictions in accordance with the Republic Act No. 10173, otherwise known as Data Privacy Act of 2012, Republic Act No. 10175, otherwise known as the Cybercrime Prevention Act of 2012, and other applicable laws and regulations. If you received this in error, please do not read or take action in reliance on it. Instead, please inform the sender and then delete it immediately.
</t>
  </si>
  <si>
    <t xml:space="preserve">• EF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</si>
</sst>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5" x14ac:knownFonts="1">
    <font>
      <sz val="11"/>
      <color theme="1"/>
      <name val="Calibri"/>
      <family val="2"/>
      <scheme val="minor"/>
    </font>
    <font>
      <sz val="11"/>
      <color theme="1"/>
      <name val="Calibri"/>
      <family val="2"/>
      <scheme val="minor"/>
    </font>
    <font>
      <sz val="11"/>
      <color theme="1"/>
      <name val="Aptos Narrow"/>
      <family val="2"/>
    </font>
    <font>
      <sz val="5"/>
      <name val="Aptos Narrow"/>
      <family val="2"/>
    </font>
    <font>
      <sz val="5.5"/>
      <color theme="1" tint="0.249977111117893"/>
      <name val="Daytona Condensed"/>
      <family val="2"/>
    </font>
    <font>
      <sz val="6"/>
      <color theme="1" tint="0.249977111117893"/>
      <name val="Aptos Narrow"/>
      <family val="2"/>
    </font>
    <font>
      <sz val="5"/>
      <color theme="1" tint="0.249977111117893"/>
      <name val="Aptos Narrow"/>
      <family val="2"/>
    </font>
    <font>
      <sz val="5"/>
      <color theme="1"/>
      <name val="Aptos Narrow"/>
      <family val="2"/>
    </font>
    <font>
      <b/>
      <u/>
      <sz val="6"/>
      <color theme="1" tint="0.249977111117893"/>
      <name val="Aptos Narrow"/>
      <family val="2"/>
    </font>
    <font>
      <sz val="6"/>
      <color theme="1"/>
      <name val="Aptos Narrow"/>
      <family val="2"/>
    </font>
    <font>
      <sz val="5.5"/>
      <color theme="1" tint="0.249977111117893"/>
      <name val="Aptos Narrow"/>
      <family val="2"/>
    </font>
    <font>
      <b/>
      <sz val="6"/>
      <color theme="1" tint="0.249977111117893"/>
      <name val="Aptos Narrow"/>
      <family val="2"/>
    </font>
    <font>
      <sz val="6"/>
      <name val="Aptos Narrow"/>
      <family val="2"/>
    </font>
    <font>
      <b/>
      <sz val="11"/>
      <color theme="1"/>
      <name val="Aptos Narrow"/>
      <family val="2"/>
    </font>
    <font>
      <sz val="9"/>
      <color theme="1"/>
      <name val="Aptos Narrow"/>
      <family val="2"/>
    </font>
    <font>
      <sz val="8"/>
      <color theme="1"/>
      <name val="Aptos Narrow"/>
      <family val="2"/>
    </font>
    <font>
      <b/>
      <sz val="8"/>
      <color theme="1" tint="0.14999847407452621"/>
      <name val="Amasis MT Pro Black"/>
      <family val="1"/>
    </font>
    <font>
      <b/>
      <sz val="16"/>
      <color theme="1" tint="0.14999847407452621"/>
      <name val="Amasis MT Pro Black"/>
      <family val="1"/>
    </font>
    <font>
      <sz val="9"/>
      <color theme="0"/>
      <name val="Aptos Narrow"/>
      <family val="2"/>
    </font>
    <font>
      <b/>
      <sz val="16"/>
      <color theme="0"/>
      <name val="Aptos Narrow"/>
      <family val="2"/>
    </font>
    <font>
      <sz val="6"/>
      <color theme="0"/>
      <name val="Aptos Narrow"/>
      <family val="2"/>
    </font>
    <font>
      <b/>
      <sz val="5"/>
      <color theme="0"/>
      <name val="Aptos Narrow"/>
      <family val="2"/>
    </font>
    <font>
      <b/>
      <sz val="6"/>
      <color theme="1"/>
      <name val="Aptos Narrow"/>
      <family val="2"/>
    </font>
    <font>
      <sz val="5.5"/>
      <color theme="1"/>
      <name val="Aptos Narrow"/>
      <family val="2"/>
    </font>
    <font>
      <sz val="7"/>
      <color theme="1"/>
      <name val="Aptos Narrow"/>
      <family val="2"/>
    </font>
    <font>
      <b/>
      <sz val="5.5"/>
      <color theme="0"/>
      <name val="Aptos Narrow"/>
      <family val="2"/>
    </font>
    <font>
      <sz val="5.5"/>
      <color theme="0"/>
      <name val="Aptos Narrow"/>
      <family val="2"/>
    </font>
    <font>
      <b/>
      <u/>
      <sz val="6"/>
      <name val="Aptos Narrow"/>
      <family val="2"/>
    </font>
    <font>
      <sz val="5.5"/>
      <name val="Daytona Condensed"/>
      <family val="2"/>
    </font>
    <font>
      <sz val="6"/>
      <name val="Daytona Condensed"/>
      <family val="2"/>
    </font>
    <font>
      <b/>
      <sz val="6"/>
      <name val="Aptos Narrow"/>
      <family val="2"/>
    </font>
    <font>
      <sz val="6"/>
      <color theme="1" tint="0.249977111117893"/>
      <name val="Daytona Condensed"/>
      <family val="2"/>
    </font>
    <font>
      <b/>
      <sz val="5.5"/>
      <color theme="1" tint="0.249977111117893"/>
      <name val="Aptos Narrow"/>
      <family val="2"/>
    </font>
    <font>
      <b/>
      <sz val="6"/>
      <color theme="0"/>
      <name val="Aptos Narrow"/>
      <family val="2"/>
    </font>
    <font>
      <b/>
      <sz val="5"/>
      <color theme="1" tint="0.249977111117893"/>
      <name val="Aptos Narrow"/>
      <family val="2"/>
    </font>
    <font>
      <b/>
      <sz val="6"/>
      <color theme="1" tint="0.249977111117893"/>
      <name val="Daytona Condensed"/>
      <family val="2"/>
    </font>
    <font>
      <sz val="5.5"/>
      <name val="Aptos Narrow"/>
      <family val="2"/>
    </font>
    <font>
      <b/>
      <sz val="5.5"/>
      <name val="Aptos Narrow"/>
      <family val="2"/>
    </font>
    <font>
      <b/>
      <sz val="5.5"/>
      <color theme="1" tint="4.9989318521683403E-2"/>
      <name val="Aptos Narrow"/>
      <family val="2"/>
    </font>
    <font>
      <sz val="5.5"/>
      <color theme="1" tint="4.9989318521683403E-2"/>
      <name val="Aptos Narrow"/>
      <family val="2"/>
    </font>
    <font>
      <b/>
      <sz val="6.5"/>
      <color theme="0"/>
      <name val="Calibri"/>
      <family val="2"/>
      <scheme val="minor"/>
    </font>
    <font>
      <b/>
      <sz val="5.5"/>
      <color theme="1"/>
      <name val="Aptos Narrow"/>
      <family val="2"/>
    </font>
    <font>
      <sz val="10"/>
      <name val="Arial"/>
      <family val="2"/>
    </font>
    <font>
      <b/>
      <sz val="9"/>
      <color indexed="81"/>
      <name val="Tahoma"/>
      <family val="2"/>
    </font>
    <font>
      <sz val="9"/>
      <color indexed="81"/>
      <name val="Tahoma"/>
      <family val="2"/>
    </font>
  </fonts>
  <fills count="4">
    <fill>
      <patternFill patternType="none"/>
    </fill>
    <fill>
      <patternFill patternType="gray125"/>
    </fill>
    <fill>
      <patternFill patternType="solid">
        <fgColor theme="4" tint="-0.249977111117893"/>
        <bgColor indexed="64"/>
      </patternFill>
    </fill>
    <fill>
      <patternFill patternType="solid">
        <fgColor theme="1" tint="4.9989318521683403E-2"/>
        <bgColor indexed="64"/>
      </patternFill>
    </fill>
  </fills>
  <borders count="20">
    <border>
      <left/>
      <right/>
      <top/>
      <bottom/>
      <diagonal/>
    </border>
    <border>
      <left/>
      <right/>
      <top/>
      <bottom style="thin">
        <color theme="0" tint="-0.34998626667073579"/>
      </bottom>
      <diagonal/>
    </border>
    <border>
      <left/>
      <right/>
      <top/>
      <bottom style="thin">
        <color theme="0" tint="-0.249977111117893"/>
      </bottom>
      <diagonal/>
    </border>
    <border>
      <left/>
      <right/>
      <top style="thin">
        <color theme="0" tint="-0.249977111117893"/>
      </top>
      <bottom style="medium">
        <color theme="1" tint="0.499984740745262"/>
      </bottom>
      <diagonal/>
    </border>
    <border>
      <left/>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tint="-0.34998626667073579"/>
      </bottom>
      <diagonal/>
    </border>
    <border>
      <left style="thin">
        <color theme="0"/>
      </left>
      <right/>
      <top/>
      <bottom style="thin">
        <color theme="0" tint="-0.249977111117893"/>
      </bottom>
      <diagonal/>
    </border>
    <border>
      <left style="thin">
        <color theme="0"/>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bottom>
      <diagonal/>
    </border>
    <border>
      <left/>
      <right style="thin">
        <color theme="0"/>
      </right>
      <top/>
      <bottom style="thin">
        <color theme="0"/>
      </bottom>
      <diagonal/>
    </border>
    <border>
      <left style="thin">
        <color theme="0"/>
      </left>
      <right/>
      <top style="medium">
        <color theme="0" tint="-0.14999847407452621"/>
      </top>
      <bottom style="thin">
        <color theme="0" tint="-0.249977111117893"/>
      </bottom>
      <diagonal/>
    </border>
    <border>
      <left/>
      <right/>
      <top style="medium">
        <color theme="0" tint="-0.14999847407452621"/>
      </top>
      <bottom style="thin">
        <color theme="0" tint="-0.249977111117893"/>
      </bottom>
      <diagonal/>
    </border>
    <border>
      <left/>
      <right/>
      <top style="thin">
        <color theme="0" tint="-0.249977111117893"/>
      </top>
      <bottom/>
      <diagonal/>
    </border>
    <border>
      <left/>
      <right/>
      <top style="medium">
        <color theme="1" tint="0.499984740745262"/>
      </top>
      <bottom style="double">
        <color theme="1" tint="0.499984740745262"/>
      </bottom>
      <diagonal/>
    </border>
    <border>
      <left/>
      <right/>
      <top/>
      <bottom style="double">
        <color theme="1" tint="0.499984740745262"/>
      </bottom>
      <diagonal/>
    </border>
    <border>
      <left/>
      <right/>
      <top/>
      <bottom style="medium">
        <color theme="0" tint="-0.14999847407452621"/>
      </bottom>
      <diagonal/>
    </border>
    <border>
      <left/>
      <right/>
      <top/>
      <bottom style="double">
        <color theme="0" tint="-0.34998626667073579"/>
      </bottom>
      <diagonal/>
    </border>
  </borders>
  <cellStyleXfs count="3">
    <xf numFmtId="0" fontId="0" fillId="0" borderId="0"/>
    <xf numFmtId="43" fontId="1" fillId="0" borderId="0" applyFont="0" applyFill="0" applyBorder="0" applyAlignment="0" applyProtection="0"/>
    <xf numFmtId="0" fontId="42" fillId="0" borderId="0"/>
  </cellStyleXfs>
  <cellXfs count="112">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43" fontId="6" fillId="0" borderId="2" xfId="0" applyNumberFormat="1" applyFont="1" applyBorder="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43" fontId="6" fillId="0" borderId="2" xfId="1" applyFont="1" applyBorder="1" applyAlignment="1" applyProtection="1">
      <alignment vertical="center"/>
    </xf>
    <xf numFmtId="0" fontId="11" fillId="0" borderId="0" xfId="0" applyFont="1" applyAlignment="1">
      <alignment vertical="center"/>
    </xf>
    <xf numFmtId="0" fontId="12" fillId="0" borderId="0" xfId="0" applyFont="1" applyAlignment="1">
      <alignment vertical="center"/>
    </xf>
    <xf numFmtId="43" fontId="3" fillId="0" borderId="2" xfId="0" applyNumberFormat="1" applyFont="1" applyBorder="1" applyAlignment="1">
      <alignment vertical="center"/>
    </xf>
    <xf numFmtId="0" fontId="13" fillId="0" borderId="0" xfId="0" applyFont="1" applyAlignment="1">
      <alignment vertical="center"/>
    </xf>
    <xf numFmtId="0" fontId="2" fillId="2" borderId="0" xfId="0" applyFont="1" applyFill="1" applyAlignment="1">
      <alignment vertical="center"/>
    </xf>
    <xf numFmtId="0" fontId="14" fillId="2" borderId="0" xfId="0" applyFont="1" applyFill="1" applyAlignment="1">
      <alignment vertical="center"/>
    </xf>
    <xf numFmtId="0" fontId="14" fillId="0" borderId="0" xfId="0" applyFont="1" applyAlignment="1">
      <alignment vertical="center"/>
    </xf>
    <xf numFmtId="0" fontId="15" fillId="2" borderId="0" xfId="0" applyFont="1" applyFill="1" applyAlignment="1">
      <alignment vertical="center"/>
    </xf>
    <xf numFmtId="0" fontId="16" fillId="0" borderId="0" xfId="0" applyFont="1" applyAlignment="1">
      <alignment vertical="center"/>
    </xf>
    <xf numFmtId="0" fontId="15"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1" fillId="2" borderId="0" xfId="0" applyFont="1" applyFill="1" applyAlignment="1">
      <alignment vertical="center"/>
    </xf>
    <xf numFmtId="0" fontId="21" fillId="2" borderId="4" xfId="0" applyFont="1" applyFill="1" applyBorder="1" applyAlignment="1">
      <alignment vertical="center"/>
    </xf>
    <xf numFmtId="0" fontId="14" fillId="2" borderId="5" xfId="0" applyFont="1" applyFill="1" applyBorder="1" applyAlignment="1">
      <alignment vertical="center"/>
    </xf>
    <xf numFmtId="0" fontId="14" fillId="2" borderId="4" xfId="0" applyFont="1" applyFill="1" applyBorder="1" applyAlignment="1">
      <alignment vertical="center"/>
    </xf>
    <xf numFmtId="0" fontId="21" fillId="2" borderId="6" xfId="0" applyFont="1" applyFill="1" applyBorder="1" applyAlignment="1">
      <alignment vertical="center"/>
    </xf>
    <xf numFmtId="0" fontId="3" fillId="0" borderId="7" xfId="0" applyFont="1" applyBorder="1" applyAlignment="1">
      <alignment horizontal="left" vertical="center"/>
    </xf>
    <xf numFmtId="0" fontId="3" fillId="0" borderId="1" xfId="0" applyFont="1" applyBorder="1" applyAlignment="1">
      <alignment horizontal="left" vertical="center"/>
    </xf>
    <xf numFmtId="0" fontId="21" fillId="2" borderId="5" xfId="0" applyFont="1" applyFill="1" applyBorder="1" applyAlignment="1">
      <alignment vertical="center"/>
    </xf>
    <xf numFmtId="0" fontId="7" fillId="0" borderId="7" xfId="0" applyFont="1" applyBorder="1" applyAlignment="1">
      <alignment vertical="center"/>
    </xf>
    <xf numFmtId="0" fontId="7" fillId="0" borderId="1" xfId="0" applyFont="1" applyBorder="1" applyAlignment="1">
      <alignment vertical="center"/>
    </xf>
    <xf numFmtId="0" fontId="21" fillId="2" borderId="4" xfId="0" applyFont="1" applyFill="1" applyBorder="1" applyAlignment="1">
      <alignment horizontal="left" vertical="center"/>
    </xf>
    <xf numFmtId="0" fontId="21" fillId="2" borderId="11" xfId="0" applyFont="1" applyFill="1" applyBorder="1" applyAlignment="1">
      <alignment horizontal="left" vertical="center"/>
    </xf>
    <xf numFmtId="43" fontId="23" fillId="0" borderId="10" xfId="1" applyFont="1" applyBorder="1" applyAlignment="1" applyProtection="1">
      <alignment vertical="center"/>
    </xf>
    <xf numFmtId="0" fontId="23" fillId="0" borderId="10" xfId="0" applyFont="1" applyBorder="1" applyAlignment="1">
      <alignment vertical="center"/>
    </xf>
    <xf numFmtId="0" fontId="24" fillId="0" borderId="0" xfId="0" applyFont="1" applyAlignment="1">
      <alignment vertical="center"/>
    </xf>
    <xf numFmtId="0" fontId="2" fillId="0" borderId="15" xfId="0" applyFont="1" applyBorder="1" applyAlignment="1">
      <alignment vertical="center"/>
    </xf>
    <xf numFmtId="0" fontId="23" fillId="0" borderId="0" xfId="0" applyFont="1" applyAlignment="1">
      <alignment horizontal="left" vertical="center"/>
    </xf>
    <xf numFmtId="0" fontId="23" fillId="2" borderId="0" xfId="0" applyFont="1" applyFill="1" applyAlignment="1">
      <alignment horizontal="left" vertical="center"/>
    </xf>
    <xf numFmtId="0" fontId="25" fillId="2" borderId="0" xfId="0" applyFont="1" applyFill="1" applyAlignment="1">
      <alignment horizontal="left" vertical="center"/>
    </xf>
    <xf numFmtId="0" fontId="26" fillId="2" borderId="0" xfId="0" applyFont="1" applyFill="1" applyAlignment="1">
      <alignment horizontal="left" vertical="center"/>
    </xf>
    <xf numFmtId="0" fontId="7" fillId="0" borderId="0" xfId="0" applyFont="1" applyAlignment="1">
      <alignment horizontal="left" vertical="center"/>
    </xf>
    <xf numFmtId="0" fontId="15" fillId="0" borderId="0" xfId="0" applyFont="1" applyAlignment="1">
      <alignment horizontal="center" vertical="center"/>
    </xf>
    <xf numFmtId="0" fontId="27" fillId="0" borderId="0" xfId="0" applyFont="1" applyAlignment="1">
      <alignment vertical="center"/>
    </xf>
    <xf numFmtId="43" fontId="5" fillId="0" borderId="2" xfId="0" applyNumberFormat="1" applyFont="1" applyBorder="1" applyAlignment="1">
      <alignment vertical="center"/>
    </xf>
    <xf numFmtId="0" fontId="5" fillId="2" borderId="0" xfId="0" applyFont="1" applyFill="1" applyAlignment="1">
      <alignment vertical="center"/>
    </xf>
    <xf numFmtId="0" fontId="28" fillId="0" borderId="0" xfId="0" applyFont="1" applyAlignment="1">
      <alignment vertical="center"/>
    </xf>
    <xf numFmtId="0" fontId="29" fillId="0" borderId="0" xfId="0" applyFont="1" applyAlignment="1">
      <alignment vertical="center"/>
    </xf>
    <xf numFmtId="0" fontId="30" fillId="0" borderId="0" xfId="0" applyFont="1" applyAlignment="1">
      <alignment vertical="center"/>
    </xf>
    <xf numFmtId="0" fontId="5" fillId="0" borderId="0" xfId="0" applyFont="1" applyAlignment="1">
      <alignment horizontal="center" vertical="center"/>
    </xf>
    <xf numFmtId="0" fontId="6" fillId="0" borderId="2" xfId="0" applyFont="1" applyBorder="1" applyAlignment="1">
      <alignment horizontal="center" vertical="center"/>
    </xf>
    <xf numFmtId="0" fontId="6" fillId="0" borderId="0" xfId="0" applyFont="1" applyAlignment="1">
      <alignment vertical="center"/>
    </xf>
    <xf numFmtId="0" fontId="31" fillId="0" borderId="0" xfId="0" applyFont="1" applyAlignment="1">
      <alignment vertical="center"/>
    </xf>
    <xf numFmtId="43" fontId="6" fillId="0" borderId="2" xfId="1" applyFont="1" applyFill="1" applyBorder="1" applyAlignment="1" applyProtection="1">
      <alignment vertical="center"/>
    </xf>
    <xf numFmtId="0" fontId="6" fillId="0" borderId="2" xfId="0" applyFont="1" applyBorder="1" applyAlignment="1">
      <alignment vertical="center"/>
    </xf>
    <xf numFmtId="43" fontId="6" fillId="0" borderId="3" xfId="1" applyFont="1" applyBorder="1" applyAlignment="1" applyProtection="1">
      <alignment vertical="center"/>
    </xf>
    <xf numFmtId="43" fontId="32" fillId="0" borderId="16" xfId="0" applyNumberFormat="1" applyFont="1" applyBorder="1" applyAlignment="1">
      <alignment vertical="center"/>
    </xf>
    <xf numFmtId="0" fontId="33" fillId="2" borderId="0" xfId="0" applyFont="1" applyFill="1" applyAlignment="1">
      <alignment vertical="center"/>
    </xf>
    <xf numFmtId="0" fontId="20" fillId="2" borderId="0" xfId="0" applyFont="1" applyFill="1" applyAlignment="1">
      <alignment vertical="center"/>
    </xf>
    <xf numFmtId="43" fontId="33" fillId="2" borderId="0" xfId="0" applyNumberFormat="1" applyFont="1" applyFill="1" applyAlignment="1">
      <alignment horizontal="center" vertical="center"/>
    </xf>
    <xf numFmtId="43" fontId="6" fillId="0" borderId="3" xfId="1" applyFont="1" applyFill="1" applyBorder="1" applyAlignment="1" applyProtection="1">
      <alignment vertical="center"/>
    </xf>
    <xf numFmtId="0" fontId="34" fillId="0" borderId="1" xfId="0" applyFont="1" applyBorder="1" applyAlignment="1">
      <alignment vertical="center"/>
    </xf>
    <xf numFmtId="43" fontId="32" fillId="0" borderId="17" xfId="0" applyNumberFormat="1" applyFont="1" applyBorder="1" applyAlignment="1">
      <alignment vertical="center"/>
    </xf>
    <xf numFmtId="43" fontId="10" fillId="0" borderId="18" xfId="1" applyFont="1" applyBorder="1" applyAlignment="1" applyProtection="1">
      <alignment vertical="center"/>
    </xf>
    <xf numFmtId="0" fontId="10" fillId="0" borderId="0" xfId="0" quotePrefix="1" applyFont="1" applyAlignment="1">
      <alignment vertical="center"/>
    </xf>
    <xf numFmtId="0" fontId="5" fillId="0" borderId="0" xfId="0" quotePrefix="1" applyFont="1" applyAlignment="1">
      <alignment vertical="center"/>
    </xf>
    <xf numFmtId="0" fontId="4" fillId="0" borderId="0" xfId="0" applyFont="1" applyAlignment="1">
      <alignment horizontal="left" vertical="center"/>
    </xf>
    <xf numFmtId="0" fontId="31" fillId="0" borderId="0" xfId="0" applyFont="1" applyAlignment="1">
      <alignment horizontal="left" vertical="center"/>
    </xf>
    <xf numFmtId="0" fontId="10" fillId="0" borderId="18" xfId="0" applyFont="1" applyBorder="1" applyAlignment="1">
      <alignment vertical="center"/>
    </xf>
    <xf numFmtId="0" fontId="35" fillId="0" borderId="0" xfId="0" applyFont="1" applyAlignment="1">
      <alignment vertical="center"/>
    </xf>
    <xf numFmtId="43" fontId="6" fillId="0" borderId="3" xfId="0" applyNumberFormat="1" applyFont="1" applyBorder="1" applyAlignment="1">
      <alignment vertical="center"/>
    </xf>
    <xf numFmtId="0" fontId="5" fillId="0" borderId="0" xfId="0" applyFont="1" applyAlignment="1">
      <alignment horizontal="right" vertical="center"/>
    </xf>
    <xf numFmtId="43" fontId="32" fillId="0" borderId="19" xfId="0" applyNumberFormat="1" applyFont="1" applyBorder="1" applyAlignment="1">
      <alignment vertical="center"/>
    </xf>
    <xf numFmtId="0" fontId="7" fillId="0" borderId="0" xfId="0" applyFont="1" applyAlignment="1">
      <alignment vertical="center"/>
    </xf>
    <xf numFmtId="0" fontId="36" fillId="0" borderId="0" xfId="0" applyFont="1" applyAlignment="1">
      <alignment vertical="center"/>
    </xf>
    <xf numFmtId="0" fontId="37" fillId="0" borderId="0" xfId="0" applyFont="1" applyAlignment="1">
      <alignment vertical="center"/>
    </xf>
    <xf numFmtId="0" fontId="36" fillId="0" borderId="1" xfId="0" applyFont="1" applyBorder="1" applyAlignment="1">
      <alignment horizontal="center" vertical="center"/>
    </xf>
    <xf numFmtId="43" fontId="10" fillId="0" borderId="2" xfId="0" applyNumberFormat="1" applyFont="1" applyBorder="1" applyAlignment="1">
      <alignment vertical="center"/>
    </xf>
    <xf numFmtId="0" fontId="38" fillId="0" borderId="0" xfId="0" applyFont="1" applyAlignment="1">
      <alignment vertical="center"/>
    </xf>
    <xf numFmtId="0" fontId="23" fillId="0" borderId="0" xfId="0" applyFont="1" applyAlignment="1">
      <alignment vertical="center"/>
    </xf>
    <xf numFmtId="0" fontId="23" fillId="0" borderId="1" xfId="0" applyFont="1" applyBorder="1" applyAlignment="1">
      <alignment horizontal="center" vertical="center"/>
    </xf>
    <xf numFmtId="43" fontId="39" fillId="0" borderId="2" xfId="0" applyNumberFormat="1" applyFont="1" applyBorder="1" applyAlignment="1">
      <alignment vertical="center"/>
    </xf>
    <xf numFmtId="0" fontId="32" fillId="0" borderId="0" xfId="0" applyFont="1" applyAlignment="1">
      <alignment vertical="center"/>
    </xf>
    <xf numFmtId="43" fontId="23" fillId="0" borderId="3" xfId="1" applyFont="1" applyBorder="1" applyAlignment="1">
      <alignment vertical="center"/>
    </xf>
    <xf numFmtId="43" fontId="9" fillId="0" borderId="0" xfId="0" applyNumberFormat="1" applyFont="1" applyAlignment="1">
      <alignment vertical="center"/>
    </xf>
    <xf numFmtId="0" fontId="9" fillId="2" borderId="0" xfId="0" applyFont="1" applyFill="1" applyAlignment="1">
      <alignment vertical="center"/>
    </xf>
    <xf numFmtId="0" fontId="8" fillId="0" borderId="0" xfId="0" applyFont="1" applyAlignment="1">
      <alignment horizontal="left" vertical="center" wrapText="1"/>
    </xf>
    <xf numFmtId="0" fontId="11" fillId="2" borderId="0" xfId="0" applyFont="1" applyFill="1" applyAlignment="1">
      <alignment horizontal="left" vertical="center"/>
    </xf>
    <xf numFmtId="43" fontId="33" fillId="2" borderId="0" xfId="0" applyNumberFormat="1" applyFont="1" applyFill="1" applyAlignment="1">
      <alignment vertical="center"/>
    </xf>
    <xf numFmtId="43" fontId="5" fillId="2" borderId="0" xfId="0" applyNumberFormat="1" applyFont="1" applyFill="1" applyAlignment="1">
      <alignment vertical="center"/>
    </xf>
    <xf numFmtId="0" fontId="5" fillId="2" borderId="0" xfId="0" applyFont="1" applyFill="1" applyAlignment="1">
      <alignment horizontal="center" vertical="center"/>
    </xf>
    <xf numFmtId="0" fontId="22" fillId="0" borderId="0" xfId="0" applyFont="1" applyAlignment="1">
      <alignment vertical="center"/>
    </xf>
    <xf numFmtId="0" fontId="40" fillId="3" borderId="0" xfId="0" applyFont="1" applyFill="1" applyAlignment="1">
      <alignment horizontal="center" vertical="center"/>
    </xf>
    <xf numFmtId="0" fontId="41" fillId="0" borderId="0" xfId="0" applyFont="1" applyAlignment="1">
      <alignment horizontal="center" vertical="top" wrapText="1"/>
    </xf>
    <xf numFmtId="0" fontId="32" fillId="0" borderId="0" xfId="0" applyFont="1" applyAlignment="1">
      <alignment horizontal="center" vertical="center"/>
    </xf>
    <xf numFmtId="0" fontId="32" fillId="0" borderId="0" xfId="0" applyFont="1" applyAlignment="1">
      <alignment horizontal="right" vertical="center"/>
    </xf>
    <xf numFmtId="0" fontId="32" fillId="0" borderId="0" xfId="0" applyFont="1" applyAlignment="1">
      <alignment horizontal="left" vertical="center"/>
    </xf>
    <xf numFmtId="0" fontId="33" fillId="2" borderId="0" xfId="0" applyFont="1" applyFill="1" applyAlignment="1">
      <alignment horizontal="left" vertical="center"/>
    </xf>
    <xf numFmtId="0" fontId="21" fillId="2" borderId="11" xfId="0" applyFont="1" applyFill="1" applyBorder="1" applyAlignment="1">
      <alignment horizontal="center" vertical="center"/>
    </xf>
    <xf numFmtId="0" fontId="21" fillId="2" borderId="12" xfId="0" applyFont="1" applyFill="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7" fillId="0" borderId="8" xfId="0" applyFont="1" applyBorder="1" applyAlignment="1">
      <alignment horizontal="left" vertical="center"/>
    </xf>
    <xf numFmtId="0" fontId="7" fillId="0" borderId="2" xfId="0" applyFont="1" applyBorder="1" applyAlignment="1">
      <alignment horizontal="left" vertical="center"/>
    </xf>
    <xf numFmtId="0" fontId="7" fillId="0" borderId="13" xfId="0" applyFont="1" applyBorder="1" applyAlignment="1">
      <alignment horizontal="left" vertical="center"/>
    </xf>
    <xf numFmtId="0" fontId="7" fillId="0" borderId="14" xfId="0" applyFont="1" applyBorder="1" applyAlignment="1">
      <alignment horizontal="left" vertical="center"/>
    </xf>
    <xf numFmtId="43" fontId="33" fillId="2" borderId="0" xfId="0" applyNumberFormat="1" applyFont="1" applyFill="1" applyAlignment="1">
      <alignment horizontal="center" vertical="center"/>
    </xf>
    <xf numFmtId="0" fontId="16" fillId="0" borderId="0" xfId="0" applyFont="1" applyAlignment="1">
      <alignment horizontal="center" vertical="center"/>
    </xf>
    <xf numFmtId="0" fontId="22" fillId="0" borderId="2" xfId="0" applyFont="1" applyBorder="1" applyAlignment="1">
      <alignment horizontal="left" vertical="center"/>
    </xf>
    <xf numFmtId="0" fontId="3" fillId="0" borderId="7" xfId="0" applyFont="1" applyBorder="1" applyAlignment="1">
      <alignment horizontal="left" vertical="center"/>
    </xf>
    <xf numFmtId="0" fontId="3" fillId="0" borderId="1" xfId="0" applyFont="1" applyBorder="1" applyAlignment="1">
      <alignment horizontal="left" vertical="center"/>
    </xf>
  </cellXfs>
  <cellStyles count="3">
    <cellStyle name="Comma" xfId="1" builtinId="3"/>
    <cellStyle name="Normal" xfId="0" builtinId="0"/>
    <cellStyle name="Normal 2" xfId="2" xr:uid="{8927E60C-379C-47C6-B086-7F963C65A4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8</xdr:col>
      <xdr:colOff>338585</xdr:colOff>
      <xdr:row>2</xdr:row>
      <xdr:rowOff>7480</xdr:rowOff>
    </xdr:from>
    <xdr:ext cx="157165" cy="105180"/>
    <xdr:pic>
      <xdr:nvPicPr>
        <xdr:cNvPr id="2" name="Picture 1">
          <a:extLst>
            <a:ext uri="{FF2B5EF4-FFF2-40B4-BE49-F238E27FC236}">
              <a16:creationId xmlns:a16="http://schemas.microsoft.com/office/drawing/2014/main" id="{19AEAB4C-0AFB-4074-8F53-B719A4590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4925" y="380860"/>
          <a:ext cx="157165" cy="10518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ct23\SharedDocs\october\AR_Template_Corporate_oct17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92.168.0.140\billing\Documents%20and%20Settings\glez.varona\My%20Documents\INTERMEDIARIES\Sample%20Contingency%20Format%20as%20of%2004.29.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192.168.0.202\underwriting$\Documents%20and%20Settings\eugene.falculan\Desktop\R002_Eugene\JUNE\ECF082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192.168.0.202\underwriting$\Documents%20and%20Settings\nerissa.murillo\Desktop\NERISSA_R002\JUNE\NSM01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92.168.0.140\billing\Documents%20and%20Settings\nerissa.murillo\Desktop\NERISSA_R002\JUNE\NSM013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CT23\SharedDocs\FINAL%20TEMPLATE%20FOR%20JULY03\CORP_IR_TRNX_for%20JULY03_treasur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g_Rule_ID"/>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_ID"/>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86BB-BE1D-473E-966C-534098351947}">
  <sheetPr>
    <tabColor rgb="FF99FF66"/>
    <outlinePr applyStyles="1"/>
  </sheetPr>
  <dimension ref="A1:AK1269"/>
  <sheetViews>
    <sheetView showGridLines="0" tabSelected="1" zoomScale="145" zoomScaleNormal="145" workbookViewId="0">
      <pane ySplit="1" topLeftCell="A2" activePane="bottomLeft" state="frozen"/>
      <selection pane="bottomLeft" activeCell="AM17" sqref="AM17"/>
    </sheetView>
  </sheetViews>
  <sheetFormatPr defaultColWidth="11.5703125" defaultRowHeight="8.4499999999999993" customHeight="1" x14ac:dyDescent="0.25"/>
  <cols>
    <col min="1" max="1" width="1.5703125" style="1" customWidth="1"/>
    <col min="2" max="2" width="0.28515625" style="1" customWidth="1"/>
    <col min="3" max="4" width="0.42578125" style="1" customWidth="1"/>
    <col min="5" max="5" width="4.42578125" style="1" customWidth="1"/>
    <col min="6" max="6" width="5.5703125" style="1" customWidth="1"/>
    <col min="7" max="7" width="0.42578125" style="1" customWidth="1"/>
    <col min="8" max="8" width="4.28515625" style="1" customWidth="1"/>
    <col min="9" max="9" width="5.85546875" style="1" customWidth="1"/>
    <col min="10" max="11" width="0.7109375" style="1" customWidth="1"/>
    <col min="12" max="12" width="10.28515625" style="1" customWidth="1"/>
    <col min="13" max="13" width="0.7109375" style="1" customWidth="1"/>
    <col min="14" max="14" width="0.28515625" style="1" customWidth="1"/>
    <col min="15" max="16" width="0.42578125" style="1" customWidth="1"/>
    <col min="17" max="17" width="1.5703125" style="1" customWidth="1"/>
    <col min="18" max="18" width="1" style="1" customWidth="1"/>
    <col min="19" max="20" width="2.28515625" style="1" customWidth="1"/>
    <col min="21" max="21" width="1.5703125" style="1" customWidth="1"/>
    <col min="22" max="22" width="5.5703125" style="1" customWidth="1"/>
    <col min="23" max="23" width="1" style="1" customWidth="1"/>
    <col min="24" max="24" width="6.5703125" style="1" customWidth="1"/>
    <col min="25" max="25" width="0.7109375" style="1" customWidth="1"/>
    <col min="26" max="28" width="0.28515625" style="1" customWidth="1"/>
    <col min="29" max="29" width="4.140625" style="1" customWidth="1"/>
    <col min="30" max="30" width="2.7109375" style="1" customWidth="1"/>
    <col min="31" max="31" width="1" style="1" customWidth="1"/>
    <col min="32" max="32" width="9" style="1" customWidth="1"/>
    <col min="33" max="33" width="1.140625" style="1" customWidth="1"/>
    <col min="34" max="34" width="7.7109375" style="1" customWidth="1"/>
    <col min="35" max="35" width="0.42578125" style="1" customWidth="1"/>
    <col min="36" max="36" width="0.28515625" style="1" customWidth="1"/>
    <col min="37" max="37" width="1.5703125" style="1" customWidth="1"/>
    <col min="38" max="16384" width="11.5703125" style="1"/>
  </cols>
  <sheetData>
    <row r="1" spans="1:37" ht="2.4500000000000002" customHeight="1" x14ac:dyDescent="0.25">
      <c r="E1" s="12"/>
    </row>
    <row r="2" spans="1:37" s="15" customFormat="1" ht="2.1" customHeight="1" x14ac:dyDescent="0.25">
      <c r="B2" s="13"/>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3"/>
    </row>
    <row r="3" spans="1:37" ht="0.95" customHeight="1" x14ac:dyDescent="0.25">
      <c r="B3" s="13"/>
      <c r="E3" s="12"/>
      <c r="AJ3" s="13"/>
    </row>
    <row r="4" spans="1:37" s="18" customFormat="1" ht="8.4499999999999993" customHeight="1" x14ac:dyDescent="0.25">
      <c r="B4" s="16"/>
      <c r="C4" s="17" t="s">
        <v>0</v>
      </c>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J4" s="16"/>
    </row>
    <row r="5" spans="1:37" s="15" customFormat="1" ht="0.95" customHeight="1" x14ac:dyDescent="0.25">
      <c r="B5" s="13"/>
      <c r="C5" s="19"/>
      <c r="D5" s="19"/>
      <c r="E5" s="19"/>
      <c r="F5" s="19"/>
      <c r="G5" s="19"/>
      <c r="H5" s="19"/>
      <c r="I5" s="19"/>
      <c r="J5" s="19"/>
      <c r="K5" s="19"/>
      <c r="L5" s="19"/>
      <c r="M5" s="19"/>
      <c r="N5" s="19"/>
      <c r="O5" s="19"/>
      <c r="P5" s="19"/>
      <c r="Q5" s="19"/>
      <c r="R5" s="19"/>
      <c r="S5" s="19"/>
      <c r="T5" s="19"/>
      <c r="U5" s="19"/>
      <c r="V5" s="19"/>
      <c r="W5" s="19"/>
      <c r="X5" s="19"/>
      <c r="Y5" s="19"/>
      <c r="Z5" s="19"/>
      <c r="AA5" s="19"/>
      <c r="AB5" s="1"/>
      <c r="AJ5" s="13"/>
    </row>
    <row r="6" spans="1:37" s="15" customFormat="1" ht="2.1" customHeight="1" x14ac:dyDescent="0.25">
      <c r="B6" s="13"/>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3"/>
    </row>
    <row r="7" spans="1:37" s="20" customFormat="1" ht="2.4500000000000002" customHeight="1" x14ac:dyDescent="0.25">
      <c r="B7" s="13"/>
      <c r="G7" s="21"/>
      <c r="H7" s="21"/>
      <c r="I7" s="21"/>
      <c r="J7" s="21"/>
      <c r="K7" s="21"/>
      <c r="L7" s="21"/>
      <c r="M7" s="21"/>
      <c r="N7" s="1"/>
      <c r="O7" s="15"/>
      <c r="P7" s="15"/>
      <c r="Z7" s="21"/>
      <c r="AA7" s="21"/>
      <c r="AB7" s="1"/>
      <c r="AJ7" s="13"/>
    </row>
    <row r="8" spans="1:37" s="20" customFormat="1" ht="6.95" customHeight="1" x14ac:dyDescent="0.25">
      <c r="B8" s="13"/>
      <c r="D8" s="22"/>
      <c r="E8" s="22" t="s">
        <v>1</v>
      </c>
      <c r="F8" s="23"/>
      <c r="G8" s="23"/>
      <c r="H8" s="23"/>
      <c r="I8" s="109"/>
      <c r="J8" s="109"/>
      <c r="K8" s="109"/>
      <c r="L8" s="109"/>
      <c r="M8" s="18"/>
      <c r="N8" s="1"/>
      <c r="O8" s="24"/>
      <c r="P8" s="25"/>
      <c r="Q8" s="23" t="s">
        <v>2</v>
      </c>
      <c r="R8" s="23"/>
      <c r="S8" s="23"/>
      <c r="T8" s="23"/>
      <c r="U8" s="26"/>
      <c r="V8" s="110"/>
      <c r="W8" s="111"/>
      <c r="X8" s="111"/>
      <c r="Z8" s="21"/>
      <c r="AA8" s="21"/>
      <c r="AB8" s="23"/>
      <c r="AC8" s="23" t="s">
        <v>3</v>
      </c>
      <c r="AD8" s="23"/>
      <c r="AE8" s="23"/>
      <c r="AF8" s="26"/>
      <c r="AG8" s="103" t="s">
        <v>4</v>
      </c>
      <c r="AH8" s="104"/>
      <c r="AI8" s="15"/>
      <c r="AJ8" s="13"/>
      <c r="AK8" s="15"/>
    </row>
    <row r="9" spans="1:37" s="20" customFormat="1" ht="6.95" customHeight="1" x14ac:dyDescent="0.25">
      <c r="B9" s="13"/>
      <c r="D9" s="29"/>
      <c r="E9" s="23" t="s">
        <v>5</v>
      </c>
      <c r="F9" s="23"/>
      <c r="G9" s="23"/>
      <c r="H9" s="26"/>
      <c r="I9" s="30"/>
      <c r="J9" s="31"/>
      <c r="K9" s="31"/>
      <c r="L9" s="31"/>
      <c r="M9" s="15"/>
      <c r="N9" s="1"/>
      <c r="O9" s="24"/>
      <c r="P9" s="25"/>
      <c r="Q9" s="23" t="s">
        <v>6</v>
      </c>
      <c r="R9" s="23"/>
      <c r="S9" s="23"/>
      <c r="T9" s="23"/>
      <c r="U9" s="26"/>
      <c r="V9" s="101"/>
      <c r="W9" s="102"/>
      <c r="X9" s="102"/>
      <c r="Z9" s="21"/>
      <c r="AA9" s="21"/>
      <c r="AB9" s="23"/>
      <c r="AC9" s="23" t="s">
        <v>7</v>
      </c>
      <c r="AD9" s="23"/>
      <c r="AE9" s="23"/>
      <c r="AF9" s="26"/>
      <c r="AG9" s="103" t="s">
        <v>8</v>
      </c>
      <c r="AH9" s="104"/>
      <c r="AI9" s="15"/>
      <c r="AJ9" s="13"/>
      <c r="AK9" s="15"/>
    </row>
    <row r="10" spans="1:37" s="20" customFormat="1" ht="6.95" customHeight="1" thickBot="1" x14ac:dyDescent="0.3">
      <c r="B10" s="13"/>
      <c r="D10" s="32"/>
      <c r="E10" s="32" t="s">
        <v>9</v>
      </c>
      <c r="F10" s="32"/>
      <c r="G10" s="33"/>
      <c r="H10" s="99"/>
      <c r="I10" s="99"/>
      <c r="J10" s="99"/>
      <c r="K10" s="100"/>
      <c r="L10" s="34"/>
      <c r="M10" s="15"/>
      <c r="N10" s="1"/>
      <c r="O10" s="24"/>
      <c r="P10" s="25"/>
      <c r="Q10" s="23" t="s">
        <v>10</v>
      </c>
      <c r="R10" s="23"/>
      <c r="S10" s="23"/>
      <c r="T10" s="23"/>
      <c r="U10" s="26"/>
      <c r="V10" s="101" t="s">
        <v>11</v>
      </c>
      <c r="W10" s="102"/>
      <c r="X10" s="102"/>
      <c r="Z10" s="21"/>
      <c r="AA10" s="21"/>
      <c r="AB10" s="23"/>
      <c r="AC10" s="23" t="s">
        <v>12</v>
      </c>
      <c r="AD10" s="23"/>
      <c r="AE10" s="23"/>
      <c r="AF10" s="26"/>
      <c r="AG10" s="103" t="s">
        <v>8</v>
      </c>
      <c r="AH10" s="104"/>
      <c r="AI10" s="15"/>
      <c r="AJ10" s="13"/>
      <c r="AK10" s="15"/>
    </row>
    <row r="11" spans="1:37" s="20" customFormat="1" ht="6.95" customHeight="1" x14ac:dyDescent="0.25">
      <c r="B11" s="13"/>
      <c r="D11" s="22"/>
      <c r="E11" s="22" t="s">
        <v>13</v>
      </c>
      <c r="F11" s="22"/>
      <c r="G11" s="22"/>
      <c r="H11" s="22"/>
      <c r="I11" s="22"/>
      <c r="J11" s="22"/>
      <c r="K11" s="22"/>
      <c r="L11" s="35"/>
      <c r="M11" s="15"/>
      <c r="N11" s="1"/>
      <c r="O11" s="24"/>
      <c r="P11" s="25"/>
      <c r="Q11" s="23" t="s">
        <v>14</v>
      </c>
      <c r="R11" s="23"/>
      <c r="S11" s="23"/>
      <c r="T11" s="23"/>
      <c r="U11" s="26"/>
      <c r="V11" s="27"/>
      <c r="W11" s="28"/>
      <c r="X11" s="28"/>
      <c r="Z11" s="21"/>
      <c r="AA11" s="21"/>
      <c r="AB11" s="23"/>
      <c r="AC11" s="23" t="s">
        <v>15</v>
      </c>
      <c r="AD11" s="23"/>
      <c r="AE11" s="23"/>
      <c r="AF11" s="26"/>
      <c r="AG11" s="105" t="s">
        <v>16</v>
      </c>
      <c r="AH11" s="106"/>
      <c r="AJ11" s="13"/>
    </row>
    <row r="12" spans="1:37" s="15" customFormat="1" ht="2.4500000000000002" customHeight="1" x14ac:dyDescent="0.25">
      <c r="A12" s="1"/>
      <c r="B12" s="13"/>
      <c r="C12" s="1"/>
      <c r="D12" s="1"/>
      <c r="E12" s="1"/>
      <c r="F12" s="1"/>
      <c r="G12" s="1"/>
      <c r="H12" s="1"/>
      <c r="I12" s="1"/>
      <c r="J12" s="1"/>
      <c r="K12" s="1"/>
      <c r="L12" s="1"/>
      <c r="M12" s="1"/>
      <c r="N12" s="1"/>
      <c r="O12" s="1"/>
      <c r="P12" s="1"/>
      <c r="Q12" s="1"/>
      <c r="R12" s="1"/>
      <c r="S12" s="1"/>
      <c r="T12" s="1"/>
      <c r="U12" s="1"/>
      <c r="V12" s="1"/>
      <c r="W12" s="1"/>
      <c r="X12" s="1"/>
      <c r="Y12" s="36"/>
      <c r="Z12" s="1"/>
      <c r="AA12" s="1"/>
      <c r="AB12" s="1"/>
      <c r="AC12" s="1"/>
      <c r="AD12" s="1"/>
      <c r="AE12" s="1"/>
      <c r="AF12" s="1"/>
      <c r="AG12" s="37"/>
      <c r="AH12" s="37"/>
      <c r="AI12" s="1"/>
      <c r="AJ12" s="13"/>
      <c r="AK12" s="1"/>
    </row>
    <row r="13" spans="1:37" s="38" customFormat="1" ht="6.95" customHeight="1" x14ac:dyDescent="0.25">
      <c r="B13" s="39"/>
      <c r="D13" s="40"/>
      <c r="E13" s="40" t="s">
        <v>17</v>
      </c>
      <c r="F13" s="41"/>
      <c r="G13" s="41"/>
      <c r="H13" s="41"/>
      <c r="I13" s="41"/>
      <c r="J13" s="41"/>
      <c r="K13" s="41"/>
      <c r="L13" s="41"/>
      <c r="M13" s="41"/>
      <c r="O13" s="41"/>
      <c r="P13" s="41"/>
      <c r="Q13" s="40" t="s">
        <v>18</v>
      </c>
      <c r="R13" s="41"/>
      <c r="S13" s="41"/>
      <c r="T13" s="41"/>
      <c r="U13" s="41"/>
      <c r="V13" s="41"/>
      <c r="W13" s="41"/>
      <c r="X13" s="41"/>
      <c r="Y13" s="41"/>
      <c r="Z13" s="41"/>
      <c r="AB13" s="39"/>
      <c r="AC13" s="40" t="s">
        <v>19</v>
      </c>
      <c r="AD13" s="40"/>
      <c r="AE13" s="40"/>
      <c r="AF13" s="41"/>
      <c r="AG13" s="41"/>
      <c r="AH13" s="41"/>
      <c r="AI13" s="41"/>
      <c r="AJ13" s="39"/>
    </row>
    <row r="14" spans="1:37" ht="3" customHeight="1" x14ac:dyDescent="0.25">
      <c r="A14" s="15"/>
      <c r="B14" s="13"/>
      <c r="C14" s="15"/>
      <c r="D14" s="15"/>
      <c r="E14" s="15"/>
      <c r="F14" s="15"/>
      <c r="G14" s="15"/>
      <c r="H14" s="15"/>
      <c r="I14" s="15"/>
      <c r="J14" s="15"/>
      <c r="K14" s="15"/>
      <c r="L14" s="15"/>
      <c r="M14" s="15"/>
      <c r="N14" s="42"/>
      <c r="O14" s="14"/>
      <c r="P14" s="15"/>
      <c r="Q14" s="15"/>
      <c r="R14" s="15"/>
      <c r="S14" s="15"/>
      <c r="T14" s="15"/>
      <c r="U14" s="15"/>
      <c r="V14" s="15"/>
      <c r="W14" s="15"/>
      <c r="X14" s="15"/>
      <c r="Y14" s="43">
        <v>4</v>
      </c>
      <c r="Z14" s="14"/>
      <c r="AA14" s="42"/>
      <c r="AC14" s="15"/>
      <c r="AD14" s="15"/>
      <c r="AE14" s="15"/>
      <c r="AF14" s="15"/>
      <c r="AG14" s="15"/>
      <c r="AH14" s="15"/>
      <c r="AI14" s="15"/>
      <c r="AJ14" s="13"/>
      <c r="AK14" s="15"/>
    </row>
    <row r="15" spans="1:37" s="15" customFormat="1" ht="6.95" customHeight="1" x14ac:dyDescent="0.25">
      <c r="B15" s="13"/>
      <c r="D15" s="44" t="s">
        <v>20</v>
      </c>
      <c r="E15" s="3"/>
      <c r="F15" s="3"/>
      <c r="G15" s="3"/>
      <c r="H15" s="3"/>
      <c r="I15" s="3"/>
      <c r="J15" s="3"/>
      <c r="K15" s="3"/>
      <c r="L15" s="45">
        <f>L10*L11</f>
        <v>0</v>
      </c>
      <c r="M15" s="3"/>
      <c r="N15" s="42"/>
      <c r="O15" s="46"/>
      <c r="P15" s="3"/>
      <c r="Q15" s="44" t="s">
        <v>21</v>
      </c>
      <c r="R15" s="3"/>
      <c r="S15" s="3"/>
      <c r="T15" s="3"/>
      <c r="U15" s="3"/>
      <c r="V15" s="3"/>
      <c r="W15" s="3"/>
      <c r="X15" s="3"/>
      <c r="Y15" s="3"/>
      <c r="Z15" s="46"/>
      <c r="AA15" s="42"/>
      <c r="AB15" s="3"/>
      <c r="AC15" s="47" t="s">
        <v>88</v>
      </c>
      <c r="AD15" s="47"/>
      <c r="AE15" s="48"/>
      <c r="AF15" s="49"/>
      <c r="AG15" s="10"/>
      <c r="AH15" s="11">
        <v>0</v>
      </c>
      <c r="AJ15" s="13"/>
    </row>
    <row r="16" spans="1:37" ht="6.95" customHeight="1" x14ac:dyDescent="0.25">
      <c r="B16" s="13"/>
      <c r="D16" s="9" t="s">
        <v>22</v>
      </c>
      <c r="E16" s="3"/>
      <c r="F16" s="3"/>
      <c r="G16" s="3"/>
      <c r="H16" s="3"/>
      <c r="I16" s="50" t="s">
        <v>23</v>
      </c>
      <c r="J16" s="3"/>
      <c r="K16" s="3"/>
      <c r="L16" s="3"/>
      <c r="M16" s="3"/>
      <c r="N16" s="42"/>
      <c r="O16" s="46"/>
      <c r="P16" s="3"/>
      <c r="Q16" s="7" t="s">
        <v>24</v>
      </c>
      <c r="R16" s="7"/>
      <c r="S16" s="7"/>
      <c r="T16" s="7"/>
      <c r="U16" s="7"/>
      <c r="V16" s="51"/>
      <c r="W16" s="52"/>
      <c r="X16" s="8">
        <f>(I10/8)/60*V16</f>
        <v>0</v>
      </c>
      <c r="Y16" s="3"/>
      <c r="Z16" s="46"/>
      <c r="AA16" s="42"/>
      <c r="AB16" s="3"/>
      <c r="AC16" s="2" t="s">
        <v>25</v>
      </c>
      <c r="AD16" s="2"/>
      <c r="AE16" s="53"/>
      <c r="AF16" s="9"/>
      <c r="AG16" s="3"/>
      <c r="AH16" s="4"/>
      <c r="AJ16" s="13"/>
    </row>
    <row r="17" spans="1:37" s="15" customFormat="1" ht="6.95" customHeight="1" x14ac:dyDescent="0.25">
      <c r="A17" s="1"/>
      <c r="B17" s="13"/>
      <c r="C17" s="1"/>
      <c r="D17" s="7" t="s">
        <v>26</v>
      </c>
      <c r="E17" s="7"/>
      <c r="F17" s="7"/>
      <c r="G17" s="7"/>
      <c r="H17" s="7"/>
      <c r="I17" s="8">
        <v>0</v>
      </c>
      <c r="J17" s="52"/>
      <c r="K17" s="52"/>
      <c r="L17" s="54">
        <f>((I10/8)*125%)*I17</f>
        <v>0</v>
      </c>
      <c r="M17" s="3"/>
      <c r="N17" s="42"/>
      <c r="O17" s="46"/>
      <c r="P17" s="3"/>
      <c r="Q17" s="7" t="s">
        <v>27</v>
      </c>
      <c r="R17" s="7"/>
      <c r="S17" s="7"/>
      <c r="T17" s="7"/>
      <c r="U17" s="7"/>
      <c r="V17" s="51"/>
      <c r="W17" s="52"/>
      <c r="X17" s="8">
        <f>(I10/8)/60*V17</f>
        <v>0</v>
      </c>
      <c r="Y17" s="3"/>
      <c r="Z17" s="46"/>
      <c r="AA17" s="42"/>
      <c r="AB17" s="3"/>
      <c r="AC17" s="2" t="s">
        <v>28</v>
      </c>
      <c r="AD17" s="2"/>
      <c r="AE17" s="53"/>
      <c r="AF17" s="9"/>
      <c r="AG17" s="3"/>
      <c r="AH17" s="4"/>
      <c r="AJ17" s="13"/>
    </row>
    <row r="18" spans="1:37" ht="6.95" customHeight="1" thickBot="1" x14ac:dyDescent="0.3">
      <c r="B18" s="13"/>
      <c r="D18" s="7"/>
      <c r="E18" s="7" t="s">
        <v>29</v>
      </c>
      <c r="F18" s="7"/>
      <c r="G18" s="7"/>
      <c r="H18" s="7"/>
      <c r="I18" s="8">
        <v>0</v>
      </c>
      <c r="J18" s="52"/>
      <c r="K18" s="52"/>
      <c r="L18" s="54">
        <f>((I10/8)*10%)*I18</f>
        <v>0</v>
      </c>
      <c r="M18" s="3"/>
      <c r="N18" s="42"/>
      <c r="O18" s="46"/>
      <c r="P18" s="3"/>
      <c r="Q18" s="7" t="s">
        <v>30</v>
      </c>
      <c r="R18" s="7"/>
      <c r="S18" s="7"/>
      <c r="T18" s="7"/>
      <c r="U18" s="7"/>
      <c r="V18" s="55"/>
      <c r="W18" s="52"/>
      <c r="X18" s="56"/>
      <c r="Y18" s="3"/>
      <c r="Z18" s="46"/>
      <c r="AA18" s="42"/>
      <c r="AB18" s="3"/>
      <c r="AC18" s="2" t="s">
        <v>31</v>
      </c>
      <c r="AD18" s="2"/>
      <c r="AE18" s="53"/>
      <c r="AF18" s="9"/>
      <c r="AG18" s="3"/>
      <c r="AH18" s="4"/>
      <c r="AJ18" s="13"/>
    </row>
    <row r="19" spans="1:37" ht="6.95" customHeight="1" thickBot="1" x14ac:dyDescent="0.3">
      <c r="B19" s="13"/>
      <c r="D19" s="7" t="s">
        <v>32</v>
      </c>
      <c r="E19" s="7"/>
      <c r="F19" s="7"/>
      <c r="G19" s="7"/>
      <c r="H19" s="7"/>
      <c r="I19" s="8">
        <v>0</v>
      </c>
      <c r="J19" s="52"/>
      <c r="K19" s="52"/>
      <c r="L19" s="54">
        <f>((I10*30%+I10)/8)*I19</f>
        <v>0</v>
      </c>
      <c r="M19" s="3"/>
      <c r="N19" s="42"/>
      <c r="O19" s="46"/>
      <c r="P19" s="3"/>
      <c r="Q19" s="96" t="s">
        <v>33</v>
      </c>
      <c r="R19" s="96"/>
      <c r="S19" s="96"/>
      <c r="T19" s="96"/>
      <c r="U19" s="96"/>
      <c r="V19" s="96"/>
      <c r="W19" s="96"/>
      <c r="X19" s="57">
        <f>SUM(X16:X18)</f>
        <v>0</v>
      </c>
      <c r="Y19" s="3"/>
      <c r="Z19" s="46"/>
      <c r="AA19" s="42"/>
      <c r="AB19" s="3"/>
      <c r="AC19" s="2" t="s">
        <v>34</v>
      </c>
      <c r="AD19" s="2"/>
      <c r="AE19" s="53"/>
      <c r="AF19" s="9"/>
      <c r="AG19" s="3"/>
      <c r="AH19" s="4"/>
      <c r="AJ19" s="13"/>
    </row>
    <row r="20" spans="1:37" ht="6.95" customHeight="1" thickTop="1" x14ac:dyDescent="0.25">
      <c r="B20" s="13"/>
      <c r="D20" s="7"/>
      <c r="E20" s="7" t="s">
        <v>35</v>
      </c>
      <c r="F20" s="7"/>
      <c r="G20" s="7"/>
      <c r="H20" s="7"/>
      <c r="I20" s="8">
        <v>0</v>
      </c>
      <c r="J20" s="52"/>
      <c r="K20" s="52"/>
      <c r="L20" s="54">
        <f>((((I10*30%)+I10)/8)*10%)*I20</f>
        <v>0</v>
      </c>
      <c r="M20" s="3"/>
      <c r="N20" s="42"/>
      <c r="O20" s="13"/>
      <c r="Z20" s="13"/>
      <c r="AA20" s="42"/>
      <c r="AB20" s="3"/>
      <c r="AC20" s="2" t="s">
        <v>36</v>
      </c>
      <c r="AD20" s="2"/>
      <c r="AE20" s="53"/>
      <c r="AF20" s="9"/>
      <c r="AG20" s="3"/>
      <c r="AH20" s="4"/>
      <c r="AJ20" s="13"/>
    </row>
    <row r="21" spans="1:37" ht="6.95" customHeight="1" x14ac:dyDescent="0.25">
      <c r="B21" s="13"/>
      <c r="D21" s="7" t="s">
        <v>37</v>
      </c>
      <c r="E21" s="7"/>
      <c r="F21" s="7"/>
      <c r="G21" s="7"/>
      <c r="H21" s="7"/>
      <c r="I21" s="8">
        <v>0</v>
      </c>
      <c r="J21" s="52"/>
      <c r="K21" s="52"/>
      <c r="L21" s="54">
        <f>((I10/8)*100%)*I21</f>
        <v>0</v>
      </c>
      <c r="M21" s="3"/>
      <c r="N21" s="42"/>
      <c r="O21" s="46"/>
      <c r="P21" s="46"/>
      <c r="Q21" s="58" t="s">
        <v>38</v>
      </c>
      <c r="R21" s="59"/>
      <c r="S21" s="59"/>
      <c r="T21" s="59"/>
      <c r="U21" s="59"/>
      <c r="V21" s="59"/>
      <c r="W21" s="59"/>
      <c r="X21" s="107">
        <f>L43-X19</f>
        <v>0</v>
      </c>
      <c r="Y21" s="107"/>
      <c r="Z21" s="46"/>
      <c r="AA21" s="42"/>
      <c r="AB21" s="3"/>
      <c r="AC21" s="2" t="s">
        <v>39</v>
      </c>
      <c r="AD21" s="2"/>
      <c r="AE21" s="53"/>
      <c r="AF21" s="9"/>
      <c r="AG21" s="3"/>
      <c r="AH21" s="4"/>
      <c r="AJ21" s="13"/>
    </row>
    <row r="22" spans="1:37" ht="6.95" customHeight="1" x14ac:dyDescent="0.25">
      <c r="B22" s="13"/>
      <c r="D22" s="7"/>
      <c r="E22" s="7" t="s">
        <v>40</v>
      </c>
      <c r="F22" s="7"/>
      <c r="G22" s="7"/>
      <c r="H22" s="7"/>
      <c r="I22" s="8">
        <v>0</v>
      </c>
      <c r="J22" s="52"/>
      <c r="K22" s="52"/>
      <c r="L22" s="54">
        <f>((((I10*100%)+I10)/8)*10%)*I22</f>
        <v>0</v>
      </c>
      <c r="M22" s="3"/>
      <c r="N22" s="42"/>
      <c r="O22" s="46"/>
      <c r="P22" s="3"/>
      <c r="Q22" s="3"/>
      <c r="R22" s="3"/>
      <c r="S22" s="3"/>
      <c r="T22" s="3"/>
      <c r="U22" s="3"/>
      <c r="V22" s="3"/>
      <c r="W22" s="3"/>
      <c r="X22" s="3"/>
      <c r="Y22" s="3"/>
      <c r="Z22" s="46"/>
      <c r="AA22" s="42"/>
      <c r="AB22" s="3"/>
      <c r="AC22" s="2" t="s">
        <v>41</v>
      </c>
      <c r="AD22" s="2"/>
      <c r="AE22" s="53"/>
      <c r="AF22" s="9"/>
      <c r="AG22" s="3"/>
      <c r="AH22" s="4"/>
      <c r="AJ22" s="13"/>
    </row>
    <row r="23" spans="1:37" ht="6.95" customHeight="1" thickBot="1" x14ac:dyDescent="0.3">
      <c r="B23" s="13"/>
      <c r="D23" s="7" t="s">
        <v>42</v>
      </c>
      <c r="E23" s="7"/>
      <c r="F23" s="7"/>
      <c r="G23" s="7"/>
      <c r="H23" s="7"/>
      <c r="I23" s="8">
        <v>0</v>
      </c>
      <c r="J23" s="52"/>
      <c r="K23" s="52"/>
      <c r="L23" s="61">
        <f>((I10*30%)/8)*I23</f>
        <v>0</v>
      </c>
      <c r="M23" s="3"/>
      <c r="N23" s="42"/>
      <c r="O23" s="46"/>
      <c r="P23" s="3"/>
      <c r="Q23" s="44" t="s">
        <v>43</v>
      </c>
      <c r="R23" s="3"/>
      <c r="S23" s="3"/>
      <c r="T23" s="3"/>
      <c r="U23" s="3"/>
      <c r="V23" s="3"/>
      <c r="W23" s="3"/>
      <c r="X23" s="3"/>
      <c r="Y23" s="3"/>
      <c r="Z23" s="46"/>
      <c r="AA23" s="42"/>
      <c r="AB23" s="3"/>
      <c r="AC23" s="2" t="s">
        <v>44</v>
      </c>
      <c r="AD23" s="2"/>
      <c r="AE23" s="53"/>
      <c r="AF23" s="62"/>
      <c r="AG23" s="3"/>
      <c r="AH23" s="4"/>
      <c r="AI23" s="3"/>
      <c r="AJ23" s="13"/>
    </row>
    <row r="24" spans="1:37" ht="6.95" customHeight="1" thickBot="1" x14ac:dyDescent="0.3">
      <c r="B24" s="13"/>
      <c r="D24" s="3"/>
      <c r="E24" s="3"/>
      <c r="F24" s="3"/>
      <c r="G24" s="3"/>
      <c r="H24" s="95" t="s">
        <v>45</v>
      </c>
      <c r="I24" s="95"/>
      <c r="J24" s="95"/>
      <c r="K24" s="50"/>
      <c r="L24" s="63">
        <f>SUM(L17:L23)</f>
        <v>0</v>
      </c>
      <c r="M24" s="3"/>
      <c r="N24" s="42"/>
      <c r="O24" s="46"/>
      <c r="P24" s="3"/>
      <c r="Q24" s="2" t="s">
        <v>46</v>
      </c>
      <c r="R24" s="2"/>
      <c r="S24" s="7"/>
      <c r="T24" s="7"/>
      <c r="U24" s="7"/>
      <c r="V24" s="3"/>
      <c r="W24" s="3"/>
      <c r="X24" s="8">
        <v>0</v>
      </c>
      <c r="Y24" s="3"/>
      <c r="Z24" s="46"/>
      <c r="AA24" s="42"/>
      <c r="AB24" s="3"/>
      <c r="AC24" s="2" t="s">
        <v>44</v>
      </c>
      <c r="AD24" s="2"/>
      <c r="AE24" s="53"/>
      <c r="AF24" s="62"/>
      <c r="AH24" s="4"/>
      <c r="AI24" s="3"/>
      <c r="AJ24" s="13"/>
    </row>
    <row r="25" spans="1:37" ht="6.95" customHeight="1" thickTop="1" x14ac:dyDescent="0.25">
      <c r="B25" s="13"/>
      <c r="D25" s="44" t="s">
        <v>47</v>
      </c>
      <c r="E25" s="3"/>
      <c r="F25" s="3"/>
      <c r="G25" s="3"/>
      <c r="H25" s="3"/>
      <c r="I25" s="3"/>
      <c r="J25" s="3"/>
      <c r="K25" s="3"/>
      <c r="L25" s="3"/>
      <c r="M25" s="3"/>
      <c r="N25" s="42"/>
      <c r="O25" s="46"/>
      <c r="P25" s="3"/>
      <c r="Q25" s="2" t="s">
        <v>48</v>
      </c>
      <c r="R25" s="2"/>
      <c r="S25" s="7"/>
      <c r="T25" s="7"/>
      <c r="U25" s="7"/>
      <c r="V25" s="3"/>
      <c r="W25" s="3"/>
      <c r="X25" s="8">
        <v>0</v>
      </c>
      <c r="Y25" s="3"/>
      <c r="Z25" s="46"/>
      <c r="AA25" s="42"/>
      <c r="AB25" s="3"/>
      <c r="AC25" s="2" t="s">
        <v>49</v>
      </c>
      <c r="AD25" s="2"/>
      <c r="AE25" s="53"/>
      <c r="AF25" s="62"/>
      <c r="AG25" s="3"/>
      <c r="AH25" s="4"/>
      <c r="AI25" s="3"/>
      <c r="AJ25" s="13"/>
    </row>
    <row r="26" spans="1:37" ht="6.95" customHeight="1" thickBot="1" x14ac:dyDescent="0.3">
      <c r="B26" s="13"/>
      <c r="D26" s="7" t="s">
        <v>50</v>
      </c>
      <c r="E26" s="7"/>
      <c r="F26" s="64">
        <v>0</v>
      </c>
      <c r="G26" s="7" t="s">
        <v>51</v>
      </c>
      <c r="H26" s="7"/>
      <c r="I26" s="7"/>
      <c r="J26" s="3"/>
      <c r="K26" s="3"/>
      <c r="L26" s="4">
        <f>F26*L11</f>
        <v>0</v>
      </c>
      <c r="M26" s="3"/>
      <c r="N26" s="42"/>
      <c r="O26" s="46"/>
      <c r="P26" s="3"/>
      <c r="Q26" s="2" t="s">
        <v>52</v>
      </c>
      <c r="R26" s="2"/>
      <c r="S26" s="7"/>
      <c r="T26" s="7"/>
      <c r="U26" s="7"/>
      <c r="V26" s="3"/>
      <c r="W26" s="3"/>
      <c r="X26" s="8">
        <v>0</v>
      </c>
      <c r="Y26" s="3"/>
      <c r="Z26" s="46"/>
      <c r="AA26" s="42"/>
      <c r="AB26" s="3"/>
      <c r="AC26" s="2" t="s">
        <v>49</v>
      </c>
      <c r="AD26" s="2"/>
      <c r="AE26" s="53"/>
      <c r="AF26" s="62"/>
      <c r="AG26" s="3"/>
      <c r="AH26" s="4"/>
      <c r="AI26" s="3"/>
      <c r="AJ26" s="13"/>
    </row>
    <row r="27" spans="1:37" s="6" customFormat="1" ht="6.95" customHeight="1" x14ac:dyDescent="0.25">
      <c r="B27" s="13"/>
      <c r="C27" s="1"/>
      <c r="D27" s="7" t="s">
        <v>53</v>
      </c>
      <c r="E27" s="7"/>
      <c r="F27" s="7"/>
      <c r="G27" s="7"/>
      <c r="H27" s="7"/>
      <c r="I27" s="65"/>
      <c r="J27" s="66"/>
      <c r="K27" s="66"/>
      <c r="L27" s="4">
        <v>0</v>
      </c>
      <c r="M27" s="3"/>
      <c r="N27" s="42"/>
      <c r="O27" s="46"/>
      <c r="P27" s="3"/>
      <c r="Q27" s="2" t="s">
        <v>54</v>
      </c>
      <c r="R27" s="2"/>
      <c r="S27" s="7"/>
      <c r="T27" s="7"/>
      <c r="U27" s="7"/>
      <c r="V27" s="3"/>
      <c r="W27" s="3"/>
      <c r="X27" s="8">
        <v>0</v>
      </c>
      <c r="Y27" s="3"/>
      <c r="Z27" s="46"/>
      <c r="AA27" s="42"/>
      <c r="AB27" s="3"/>
      <c r="AC27" s="67" t="s">
        <v>55</v>
      </c>
      <c r="AD27" s="67"/>
      <c r="AE27" s="68"/>
      <c r="AF27" s="62"/>
      <c r="AG27" s="3"/>
      <c r="AH27" s="4"/>
      <c r="AI27" s="3"/>
      <c r="AJ27" s="13"/>
      <c r="AK27" s="1"/>
    </row>
    <row r="28" spans="1:37" s="6" customFormat="1" ht="6.95" customHeight="1" x14ac:dyDescent="0.25">
      <c r="B28" s="13"/>
      <c r="C28" s="1"/>
      <c r="D28" s="7" t="s">
        <v>56</v>
      </c>
      <c r="E28" s="7"/>
      <c r="F28" s="7"/>
      <c r="G28" s="7"/>
      <c r="H28" s="7"/>
      <c r="I28" s="7"/>
      <c r="J28" s="3"/>
      <c r="K28" s="3"/>
      <c r="L28" s="4">
        <v>0</v>
      </c>
      <c r="M28" s="3"/>
      <c r="N28" s="42"/>
      <c r="O28" s="46"/>
      <c r="P28" s="3"/>
      <c r="Q28" s="3"/>
      <c r="R28" s="3"/>
      <c r="S28" s="3"/>
      <c r="T28" s="3"/>
      <c r="U28" s="3"/>
      <c r="V28" s="3"/>
      <c r="W28" s="3"/>
      <c r="X28" s="52"/>
      <c r="Y28" s="3"/>
      <c r="Z28" s="46"/>
      <c r="AA28" s="42"/>
      <c r="AB28" s="3"/>
      <c r="AC28" s="2" t="s">
        <v>55</v>
      </c>
      <c r="AD28" s="2"/>
      <c r="AE28" s="53"/>
      <c r="AF28" s="62"/>
      <c r="AG28" s="3"/>
      <c r="AH28" s="4"/>
      <c r="AI28" s="3"/>
      <c r="AJ28" s="13"/>
      <c r="AK28" s="1"/>
    </row>
    <row r="29" spans="1:37" s="6" customFormat="1" ht="6.95" customHeight="1" x14ac:dyDescent="0.25">
      <c r="B29" s="13"/>
      <c r="C29" s="1"/>
      <c r="D29" s="7" t="s">
        <v>57</v>
      </c>
      <c r="E29" s="7"/>
      <c r="F29" s="7"/>
      <c r="G29" s="7"/>
      <c r="H29" s="7"/>
      <c r="I29" s="7"/>
      <c r="J29" s="3"/>
      <c r="K29" s="3"/>
      <c r="L29" s="4">
        <v>0</v>
      </c>
      <c r="M29" s="3"/>
      <c r="N29" s="42"/>
      <c r="O29" s="46"/>
      <c r="P29" s="3"/>
      <c r="Q29" s="44" t="s">
        <v>58</v>
      </c>
      <c r="R29" s="3"/>
      <c r="S29" s="3"/>
      <c r="T29" s="3"/>
      <c r="U29" s="3"/>
      <c r="V29" s="3"/>
      <c r="W29" s="3"/>
      <c r="X29" s="52"/>
      <c r="Y29" s="3"/>
      <c r="Z29" s="46"/>
      <c r="AA29" s="42"/>
      <c r="AB29" s="3"/>
      <c r="AC29" s="2" t="s">
        <v>55</v>
      </c>
      <c r="AD29" s="2"/>
      <c r="AE29" s="53"/>
      <c r="AF29" s="62"/>
      <c r="AG29" s="3"/>
      <c r="AH29" s="4"/>
      <c r="AI29" s="3"/>
      <c r="AJ29" s="13"/>
      <c r="AK29" s="1"/>
    </row>
    <row r="30" spans="1:37" s="6" customFormat="1" ht="6.95" customHeight="1" thickBot="1" x14ac:dyDescent="0.3">
      <c r="B30" s="13"/>
      <c r="C30" s="1"/>
      <c r="D30" s="7" t="s">
        <v>59</v>
      </c>
      <c r="E30" s="7"/>
      <c r="F30" s="69"/>
      <c r="G30" s="7" t="s">
        <v>60</v>
      </c>
      <c r="H30" s="7"/>
      <c r="I30" s="7"/>
      <c r="J30" s="3"/>
      <c r="K30" s="3"/>
      <c r="L30" s="4">
        <f>200*F30</f>
        <v>0</v>
      </c>
      <c r="M30" s="3"/>
      <c r="N30" s="42"/>
      <c r="O30" s="46"/>
      <c r="P30" s="3"/>
      <c r="Q30" s="70" t="s">
        <v>61</v>
      </c>
      <c r="R30" s="53"/>
      <c r="S30" s="3"/>
      <c r="T30" s="3"/>
      <c r="U30" s="3"/>
      <c r="V30" s="3"/>
      <c r="W30" s="3"/>
      <c r="X30" s="52"/>
      <c r="Y30" s="3"/>
      <c r="Z30" s="46"/>
      <c r="AA30" s="42"/>
      <c r="AB30" s="3"/>
      <c r="AC30" s="2" t="s">
        <v>55</v>
      </c>
      <c r="AD30" s="2"/>
      <c r="AE30" s="53"/>
      <c r="AF30" s="62"/>
      <c r="AG30" s="3"/>
      <c r="AH30" s="4"/>
      <c r="AI30" s="3"/>
      <c r="AJ30" s="13"/>
      <c r="AK30" s="1"/>
    </row>
    <row r="31" spans="1:37" s="6" customFormat="1" ht="6.95" customHeight="1" thickBot="1" x14ac:dyDescent="0.3">
      <c r="B31" s="13"/>
      <c r="C31" s="1"/>
      <c r="D31" s="7" t="s">
        <v>62</v>
      </c>
      <c r="E31" s="7"/>
      <c r="F31" s="69"/>
      <c r="G31" s="7" t="s">
        <v>63</v>
      </c>
      <c r="H31" s="7"/>
      <c r="I31" s="7"/>
      <c r="J31" s="3"/>
      <c r="K31" s="3"/>
      <c r="L31" s="4">
        <f>150*F31</f>
        <v>0</v>
      </c>
      <c r="M31" s="3"/>
      <c r="N31" s="42"/>
      <c r="O31" s="46"/>
      <c r="P31" s="3"/>
      <c r="Q31" s="3"/>
      <c r="R31" s="53" t="s">
        <v>64</v>
      </c>
      <c r="S31" s="3"/>
      <c r="T31" s="3"/>
      <c r="U31" s="3"/>
      <c r="V31" s="3"/>
      <c r="W31" s="3"/>
      <c r="X31" s="8">
        <v>0</v>
      </c>
      <c r="Y31" s="3"/>
      <c r="Z31" s="46"/>
      <c r="AA31" s="42"/>
      <c r="AB31" s="3"/>
      <c r="AC31" s="2" t="s">
        <v>65</v>
      </c>
      <c r="AD31" s="2"/>
      <c r="AE31" s="53"/>
      <c r="AF31" s="62"/>
      <c r="AG31" s="3"/>
      <c r="AH31" s="4"/>
      <c r="AI31" s="3"/>
      <c r="AJ31" s="13"/>
      <c r="AK31" s="1"/>
    </row>
    <row r="32" spans="1:37" s="6" customFormat="1" ht="6.95" customHeight="1" x14ac:dyDescent="0.25">
      <c r="B32" s="13"/>
      <c r="C32" s="1"/>
      <c r="D32" s="7" t="s">
        <v>66</v>
      </c>
      <c r="E32" s="7"/>
      <c r="F32" s="7"/>
      <c r="G32" s="7"/>
      <c r="H32" s="7"/>
      <c r="I32" s="7"/>
      <c r="J32" s="3"/>
      <c r="K32" s="3"/>
      <c r="L32" s="4">
        <v>0</v>
      </c>
      <c r="M32" s="3"/>
      <c r="N32" s="42"/>
      <c r="O32" s="46"/>
      <c r="P32" s="3"/>
      <c r="Q32" s="3"/>
      <c r="R32" s="53" t="s">
        <v>67</v>
      </c>
      <c r="S32" s="3"/>
      <c r="T32" s="3"/>
      <c r="U32" s="3"/>
      <c r="V32" s="3"/>
      <c r="W32" s="3"/>
      <c r="X32" s="8">
        <v>0</v>
      </c>
      <c r="Y32" s="3"/>
      <c r="Z32" s="46"/>
      <c r="AA32" s="42"/>
      <c r="AB32" s="3"/>
      <c r="AC32" s="2" t="s">
        <v>68</v>
      </c>
      <c r="AD32" s="2"/>
      <c r="AE32" s="53"/>
      <c r="AF32" s="62"/>
      <c r="AG32" s="3"/>
      <c r="AH32" s="4"/>
      <c r="AI32" s="1"/>
      <c r="AJ32" s="13"/>
      <c r="AK32" s="1"/>
    </row>
    <row r="33" spans="2:37" s="6" customFormat="1" ht="6.95" customHeight="1" x14ac:dyDescent="0.25">
      <c r="B33" s="13"/>
      <c r="C33" s="1"/>
      <c r="D33" s="5" t="s">
        <v>69</v>
      </c>
      <c r="E33" s="3"/>
      <c r="F33" s="3"/>
      <c r="G33" s="3"/>
      <c r="H33" s="3"/>
      <c r="I33" s="3"/>
      <c r="J33" s="3"/>
      <c r="K33" s="3"/>
      <c r="L33" s="11">
        <v>0</v>
      </c>
      <c r="M33" s="3"/>
      <c r="N33" s="42"/>
      <c r="O33" s="46"/>
      <c r="P33" s="3"/>
      <c r="Q33" s="70" t="s">
        <v>70</v>
      </c>
      <c r="R33" s="53"/>
      <c r="S33" s="3"/>
      <c r="T33" s="3"/>
      <c r="U33" s="3"/>
      <c r="V33" s="3"/>
      <c r="W33" s="3"/>
      <c r="X33" s="52"/>
      <c r="Y33" s="3"/>
      <c r="Z33" s="46"/>
      <c r="AA33" s="42"/>
      <c r="AB33" s="3"/>
      <c r="AC33" s="2" t="s">
        <v>71</v>
      </c>
      <c r="AD33" s="2"/>
      <c r="AE33" s="53"/>
      <c r="AF33" s="62"/>
      <c r="AG33" s="3"/>
      <c r="AH33" s="4"/>
      <c r="AI33" s="1"/>
      <c r="AJ33" s="13"/>
      <c r="AK33" s="1"/>
    </row>
    <row r="34" spans="2:37" s="6" customFormat="1" ht="6.95" customHeight="1" thickBot="1" x14ac:dyDescent="0.3">
      <c r="B34" s="13"/>
      <c r="C34" s="1"/>
      <c r="D34" s="5" t="s">
        <v>72</v>
      </c>
      <c r="E34" s="3"/>
      <c r="F34" s="3"/>
      <c r="G34" s="3"/>
      <c r="H34" s="3"/>
      <c r="I34" s="3"/>
      <c r="J34" s="3"/>
      <c r="K34" s="3"/>
      <c r="L34" s="71">
        <f>(G34/13)*F19</f>
        <v>0</v>
      </c>
      <c r="M34" s="3"/>
      <c r="N34" s="42"/>
      <c r="O34" s="46"/>
      <c r="P34" s="3"/>
      <c r="Q34" s="3"/>
      <c r="R34" s="53" t="s">
        <v>73</v>
      </c>
      <c r="S34" s="3"/>
      <c r="T34" s="3"/>
      <c r="U34" s="3"/>
      <c r="V34" s="3"/>
      <c r="W34" s="3"/>
      <c r="X34" s="8">
        <v>0</v>
      </c>
      <c r="Y34" s="3"/>
      <c r="Z34" s="46"/>
      <c r="AA34" s="42"/>
      <c r="AB34" s="3"/>
      <c r="AC34" s="2" t="s">
        <v>71</v>
      </c>
      <c r="AD34" s="2"/>
      <c r="AE34" s="53"/>
      <c r="AF34" s="62"/>
      <c r="AG34" s="3"/>
      <c r="AH34" s="4"/>
      <c r="AI34" s="1"/>
      <c r="AJ34" s="13"/>
      <c r="AK34" s="1"/>
    </row>
    <row r="35" spans="2:37" s="6" customFormat="1" ht="6.95" customHeight="1" thickBot="1" x14ac:dyDescent="0.3">
      <c r="B35" s="13"/>
      <c r="C35" s="1"/>
      <c r="D35" s="5"/>
      <c r="E35" s="3"/>
      <c r="F35" s="96" t="s">
        <v>74</v>
      </c>
      <c r="G35" s="96"/>
      <c r="H35" s="96"/>
      <c r="I35" s="96"/>
      <c r="J35" s="96"/>
      <c r="K35" s="72"/>
      <c r="L35" s="73">
        <f>SUM(L26:L34)</f>
        <v>0</v>
      </c>
      <c r="M35" s="3"/>
      <c r="N35" s="42"/>
      <c r="O35" s="46"/>
      <c r="P35" s="3"/>
      <c r="Q35" s="3"/>
      <c r="R35" s="53" t="s">
        <v>67</v>
      </c>
      <c r="S35" s="3"/>
      <c r="T35" s="3"/>
      <c r="U35" s="3"/>
      <c r="V35" s="3"/>
      <c r="W35" s="3"/>
      <c r="X35" s="8">
        <v>0</v>
      </c>
      <c r="Y35" s="3"/>
      <c r="Z35" s="46"/>
      <c r="AA35" s="42"/>
      <c r="AB35" s="3"/>
      <c r="AC35" s="2" t="s">
        <v>71</v>
      </c>
      <c r="AD35" s="2"/>
      <c r="AE35" s="53"/>
      <c r="AF35" s="62"/>
      <c r="AG35" s="3"/>
      <c r="AH35" s="4"/>
      <c r="AI35" s="1"/>
      <c r="AJ35" s="13"/>
      <c r="AK35" s="1"/>
    </row>
    <row r="36" spans="2:37" s="6" customFormat="1" ht="6.95" customHeight="1" thickTop="1" x14ac:dyDescent="0.25">
      <c r="B36" s="13"/>
      <c r="C36" s="1"/>
      <c r="D36" s="44" t="s">
        <v>75</v>
      </c>
      <c r="E36" s="9"/>
      <c r="F36" s="3"/>
      <c r="G36" s="3"/>
      <c r="H36" s="3"/>
      <c r="I36" s="3"/>
      <c r="J36" s="3"/>
      <c r="K36" s="3"/>
      <c r="L36" s="3"/>
      <c r="M36" s="3"/>
      <c r="N36" s="42"/>
      <c r="O36" s="46"/>
      <c r="P36" s="3"/>
      <c r="Q36" s="1"/>
      <c r="R36" s="1"/>
      <c r="S36" s="1"/>
      <c r="T36" s="1"/>
      <c r="U36" s="1"/>
      <c r="V36" s="1"/>
      <c r="W36" s="1"/>
      <c r="X36" s="74"/>
      <c r="Y36" s="3"/>
      <c r="Z36" s="46"/>
      <c r="AA36" s="42"/>
      <c r="AB36" s="3"/>
      <c r="AC36" s="2" t="s">
        <v>71</v>
      </c>
      <c r="AD36" s="2"/>
      <c r="AE36" s="53"/>
      <c r="AF36" s="62"/>
      <c r="AG36" s="3"/>
      <c r="AH36" s="4"/>
      <c r="AI36" s="1"/>
      <c r="AJ36" s="13"/>
      <c r="AK36" s="1"/>
    </row>
    <row r="37" spans="2:37" s="6" customFormat="1" ht="6.95" customHeight="1" x14ac:dyDescent="0.25">
      <c r="B37" s="13"/>
      <c r="C37" s="1"/>
      <c r="D37" s="75" t="s">
        <v>76</v>
      </c>
      <c r="E37" s="76"/>
      <c r="F37" s="7"/>
      <c r="G37" s="7"/>
      <c r="H37" s="7"/>
      <c r="I37" s="77"/>
      <c r="J37" s="7"/>
      <c r="K37" s="7"/>
      <c r="L37" s="78">
        <v>0</v>
      </c>
      <c r="M37" s="3"/>
      <c r="N37" s="42"/>
      <c r="O37" s="46"/>
      <c r="P37" s="3"/>
      <c r="Q37" s="5" t="s">
        <v>77</v>
      </c>
      <c r="R37" s="3"/>
      <c r="S37" s="3"/>
      <c r="T37" s="3"/>
      <c r="U37" s="3"/>
      <c r="V37" s="3"/>
      <c r="W37" s="3"/>
      <c r="X37" s="8">
        <v>0</v>
      </c>
      <c r="Y37" s="3"/>
      <c r="Z37" s="46"/>
      <c r="AA37" s="42"/>
      <c r="AB37" s="3"/>
      <c r="AC37" s="2" t="s">
        <v>71</v>
      </c>
      <c r="AD37" s="2"/>
      <c r="AE37" s="53"/>
      <c r="AF37" s="62"/>
      <c r="AG37" s="3"/>
      <c r="AH37" s="4"/>
      <c r="AI37" s="1"/>
      <c r="AJ37" s="13"/>
      <c r="AK37" s="1"/>
    </row>
    <row r="38" spans="2:37" s="6" customFormat="1" ht="6.95" customHeight="1" x14ac:dyDescent="0.25">
      <c r="B38" s="13"/>
      <c r="C38" s="1"/>
      <c r="D38" s="7" t="s">
        <v>78</v>
      </c>
      <c r="E38" s="79"/>
      <c r="F38" s="80"/>
      <c r="G38" s="80"/>
      <c r="H38" s="80"/>
      <c r="I38" s="81"/>
      <c r="J38" s="80"/>
      <c r="K38" s="80"/>
      <c r="L38" s="82">
        <v>0</v>
      </c>
      <c r="M38" s="3"/>
      <c r="N38" s="42"/>
      <c r="O38" s="46"/>
      <c r="P38" s="3"/>
      <c r="Q38" s="5" t="s">
        <v>79</v>
      </c>
      <c r="R38" s="3"/>
      <c r="S38" s="3"/>
      <c r="T38" s="3"/>
      <c r="U38" s="3"/>
      <c r="V38" s="3"/>
      <c r="W38" s="3"/>
      <c r="X38" s="8">
        <v>0</v>
      </c>
      <c r="Y38" s="3"/>
      <c r="Z38" s="46"/>
      <c r="AA38" s="42"/>
      <c r="AB38" s="3"/>
      <c r="AC38" s="2" t="s">
        <v>71</v>
      </c>
      <c r="AD38" s="2"/>
      <c r="AE38" s="53"/>
      <c r="AF38" s="62"/>
      <c r="AG38" s="3"/>
      <c r="AH38" s="4"/>
      <c r="AI38" s="1"/>
      <c r="AJ38" s="13"/>
      <c r="AK38" s="1"/>
    </row>
    <row r="39" spans="2:37" s="6" customFormat="1" ht="6.95" customHeight="1" x14ac:dyDescent="0.25">
      <c r="B39" s="13"/>
      <c r="C39" s="1"/>
      <c r="D39" s="7" t="s">
        <v>78</v>
      </c>
      <c r="E39" s="83"/>
      <c r="F39" s="7"/>
      <c r="G39" s="7"/>
      <c r="H39" s="7"/>
      <c r="I39" s="7"/>
      <c r="J39" s="7"/>
      <c r="K39" s="7"/>
      <c r="L39" s="78">
        <v>0</v>
      </c>
      <c r="M39" s="3"/>
      <c r="N39" s="42"/>
      <c r="O39" s="46"/>
      <c r="P39" s="3"/>
      <c r="Q39" s="5" t="s">
        <v>72</v>
      </c>
      <c r="R39" s="3"/>
      <c r="S39" s="3"/>
      <c r="T39" s="3"/>
      <c r="U39" s="3"/>
      <c r="V39" s="3"/>
      <c r="W39" s="3"/>
      <c r="X39" s="8">
        <v>0</v>
      </c>
      <c r="Y39" s="3"/>
      <c r="Z39" s="46"/>
      <c r="AA39" s="42"/>
      <c r="AB39" s="3"/>
      <c r="AC39" s="2" t="s">
        <v>71</v>
      </c>
      <c r="AD39" s="53"/>
      <c r="AE39" s="53"/>
      <c r="AF39" s="62"/>
      <c r="AG39" s="3"/>
      <c r="AH39" s="4"/>
      <c r="AI39" s="1"/>
      <c r="AJ39" s="13"/>
      <c r="AK39" s="1"/>
    </row>
    <row r="40" spans="2:37" s="6" customFormat="1" ht="6.95" customHeight="1" thickBot="1" x14ac:dyDescent="0.3">
      <c r="B40" s="13"/>
      <c r="C40" s="1"/>
      <c r="D40" s="7" t="s">
        <v>78</v>
      </c>
      <c r="E40" s="80"/>
      <c r="F40" s="80"/>
      <c r="G40" s="80"/>
      <c r="H40" s="80"/>
      <c r="I40" s="80"/>
      <c r="J40" s="80"/>
      <c r="K40" s="80"/>
      <c r="L40" s="84">
        <v>0</v>
      </c>
      <c r="M40" s="3"/>
      <c r="N40" s="42"/>
      <c r="O40" s="46"/>
      <c r="P40" s="3"/>
      <c r="Q40" s="3"/>
      <c r="R40" s="3"/>
      <c r="S40" s="3"/>
      <c r="T40" s="3"/>
      <c r="U40" s="3"/>
      <c r="V40" s="3"/>
      <c r="W40" s="3"/>
      <c r="X40" s="3"/>
      <c r="Y40" s="3"/>
      <c r="Z40" s="46"/>
      <c r="AA40" s="42"/>
      <c r="AB40" s="3"/>
      <c r="AC40" s="3"/>
      <c r="AD40" s="3"/>
      <c r="AE40" s="3"/>
      <c r="AF40" s="3"/>
      <c r="AH40" s="85"/>
      <c r="AI40" s="1"/>
      <c r="AJ40" s="13"/>
      <c r="AK40" s="1"/>
    </row>
    <row r="41" spans="2:37" s="6" customFormat="1" ht="6.95" customHeight="1" thickBot="1" x14ac:dyDescent="0.3">
      <c r="B41" s="86"/>
      <c r="D41" s="5"/>
      <c r="E41" s="3"/>
      <c r="F41" s="96" t="s">
        <v>80</v>
      </c>
      <c r="G41" s="96"/>
      <c r="H41" s="96"/>
      <c r="I41" s="96"/>
      <c r="J41" s="96"/>
      <c r="K41" s="72"/>
      <c r="L41" s="73">
        <f>SUM(L37:L40)</f>
        <v>0</v>
      </c>
      <c r="M41" s="3"/>
      <c r="N41" s="42"/>
      <c r="O41" s="46"/>
      <c r="P41" s="3"/>
      <c r="Q41" s="97" t="s">
        <v>81</v>
      </c>
      <c r="R41" s="97"/>
      <c r="S41" s="97"/>
      <c r="T41" s="97"/>
      <c r="U41" s="97"/>
      <c r="V41" s="97"/>
      <c r="W41" s="97"/>
      <c r="X41" s="63">
        <f>SUM(X24:X40)</f>
        <v>0</v>
      </c>
      <c r="Y41" s="3"/>
      <c r="Z41" s="46"/>
      <c r="AA41" s="42"/>
      <c r="AB41" s="3"/>
      <c r="AC41" s="83" t="s">
        <v>82</v>
      </c>
      <c r="AD41" s="9"/>
      <c r="AE41" s="9"/>
      <c r="AF41" s="9"/>
      <c r="AG41" s="9"/>
      <c r="AH41" s="63">
        <f>SUM(AH15:AH40)</f>
        <v>0</v>
      </c>
      <c r="AI41" s="9"/>
      <c r="AJ41" s="86"/>
      <c r="AK41" s="9"/>
    </row>
    <row r="42" spans="2:37" s="6" customFormat="1" ht="3" customHeight="1" thickTop="1" x14ac:dyDescent="0.25">
      <c r="B42" s="13"/>
      <c r="C42" s="1"/>
      <c r="D42" s="3"/>
      <c r="E42" s="9"/>
      <c r="F42" s="3"/>
      <c r="G42" s="3"/>
      <c r="H42" s="3"/>
      <c r="I42" s="3"/>
      <c r="J42" s="3"/>
      <c r="K42" s="3"/>
      <c r="L42" s="3"/>
      <c r="M42" s="3"/>
      <c r="N42" s="42"/>
      <c r="O42" s="46"/>
      <c r="P42" s="3"/>
      <c r="Q42" s="87"/>
      <c r="R42" s="87"/>
      <c r="S42" s="87"/>
      <c r="T42" s="87"/>
      <c r="U42" s="87"/>
      <c r="V42" s="3"/>
      <c r="W42" s="3"/>
      <c r="X42" s="3"/>
      <c r="Y42" s="3"/>
      <c r="Z42" s="46"/>
      <c r="AA42" s="42"/>
      <c r="AB42" s="3"/>
      <c r="AC42" s="3"/>
      <c r="AD42" s="3"/>
      <c r="AE42" s="3"/>
      <c r="AF42" s="3"/>
      <c r="AI42" s="9"/>
      <c r="AJ42" s="13"/>
      <c r="AK42" s="1"/>
    </row>
    <row r="43" spans="2:37" s="6" customFormat="1" ht="6.95" customHeight="1" x14ac:dyDescent="0.25">
      <c r="B43" s="86"/>
      <c r="D43" s="98" t="s">
        <v>83</v>
      </c>
      <c r="E43" s="98"/>
      <c r="F43" s="98"/>
      <c r="G43" s="98"/>
      <c r="H43" s="98"/>
      <c r="I43" s="98"/>
      <c r="J43" s="98"/>
      <c r="K43" s="88"/>
      <c r="L43" s="89">
        <f>L15+L24+L35+L41</f>
        <v>0</v>
      </c>
      <c r="M43" s="90"/>
      <c r="N43" s="42"/>
      <c r="O43" s="90"/>
      <c r="P43" s="90"/>
      <c r="Q43" s="58" t="s">
        <v>84</v>
      </c>
      <c r="R43" s="46"/>
      <c r="S43" s="46"/>
      <c r="T43" s="46"/>
      <c r="U43" s="46"/>
      <c r="V43" s="46"/>
      <c r="W43" s="46"/>
      <c r="X43" s="60">
        <f>X21-X41</f>
        <v>0</v>
      </c>
      <c r="Y43" s="91"/>
      <c r="Z43" s="90"/>
      <c r="AA43" s="42"/>
      <c r="AB43" s="91"/>
      <c r="AC43" s="98" t="s">
        <v>85</v>
      </c>
      <c r="AD43" s="98"/>
      <c r="AE43" s="98"/>
      <c r="AF43" s="98"/>
      <c r="AG43" s="98"/>
      <c r="AH43" s="60">
        <f>X43-AH41</f>
        <v>0</v>
      </c>
      <c r="AI43" s="9"/>
      <c r="AJ43" s="86"/>
    </row>
    <row r="44" spans="2:37" ht="1.5" customHeight="1" x14ac:dyDescent="0.25">
      <c r="B44" s="1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6"/>
      <c r="AH44" s="6"/>
      <c r="AJ44" s="13"/>
    </row>
    <row r="45" spans="2:37" ht="6.95" customHeight="1" x14ac:dyDescent="0.25">
      <c r="B45" s="13"/>
      <c r="D45" s="93" t="s">
        <v>86</v>
      </c>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J45" s="13"/>
    </row>
    <row r="46" spans="2:37" ht="8.4499999999999993" customHeight="1" x14ac:dyDescent="0.25">
      <c r="B46" s="13"/>
      <c r="D46" s="94" t="s">
        <v>87</v>
      </c>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J46" s="13"/>
    </row>
    <row r="47" spans="2:37" ht="8.4499999999999993" customHeight="1" x14ac:dyDescent="0.25">
      <c r="B47" s="13"/>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J47" s="13"/>
    </row>
    <row r="48" spans="2:37" ht="4.9000000000000004" customHeight="1" x14ac:dyDescent="0.25">
      <c r="B48" s="13"/>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J48" s="13"/>
    </row>
    <row r="49" spans="2:36" ht="2.25" customHeight="1" x14ac:dyDescent="0.25">
      <c r="B49" s="13"/>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J49" s="13"/>
    </row>
    <row r="50" spans="2:36" s="15" customFormat="1" ht="2.1" customHeight="1" x14ac:dyDescent="0.25">
      <c r="B50" s="13"/>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3"/>
    </row>
    <row r="51" spans="2:36" ht="8.4499999999999993" customHeight="1" x14ac:dyDescent="0.25">
      <c r="D51" s="6"/>
      <c r="E51" s="92"/>
      <c r="F51" s="6"/>
      <c r="G51" s="6"/>
      <c r="H51" s="6"/>
      <c r="I51" s="6"/>
      <c r="J51" s="6"/>
      <c r="K51" s="6"/>
      <c r="L51" s="6"/>
      <c r="M51" s="6"/>
      <c r="N51" s="6"/>
      <c r="O51" s="6"/>
      <c r="P51" s="6"/>
      <c r="Q51" s="6"/>
      <c r="R51" s="6"/>
      <c r="S51" s="6"/>
      <c r="T51" s="6"/>
      <c r="U51" s="6"/>
      <c r="V51" s="6"/>
      <c r="W51" s="6"/>
      <c r="X51" s="6"/>
      <c r="Y51" s="6"/>
      <c r="AA51" s="6"/>
      <c r="AB51" s="6"/>
      <c r="AC51" s="6"/>
      <c r="AD51" s="6"/>
      <c r="AE51" s="6"/>
      <c r="AF51" s="6"/>
      <c r="AG51" s="6"/>
      <c r="AH51" s="6"/>
    </row>
    <row r="52" spans="2:36" ht="7.5" customHeight="1" x14ac:dyDescent="0.25">
      <c r="E52" s="12"/>
      <c r="O52" s="6"/>
      <c r="P52" s="6"/>
    </row>
    <row r="87" spans="1:37" s="6" customFormat="1" ht="8.4499999999999993"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s="6" customFormat="1" ht="8.4499999999999993"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s="6" customFormat="1" ht="8.4499999999999993"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s="6" customFormat="1" ht="8.4499999999999993"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s="6" customFormat="1" ht="8.4499999999999993"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3" spans="1:37" s="6" customFormat="1" ht="8.4499999999999993"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145" spans="1:37" s="6" customFormat="1" ht="8.4499999999999993"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s="6" customFormat="1" ht="8.4499999999999993"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s="6" customFormat="1" ht="8.4499999999999993"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s="6" customFormat="1" ht="8.4499999999999993"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s="6" customFormat="1" ht="8.4499999999999993"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1" spans="1:37" s="6" customFormat="1" ht="8.4499999999999993"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200" spans="1:37" s="6" customFormat="1" ht="8.4499999999999993"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s="6" customFormat="1" ht="8.4499999999999993"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s="6" customFormat="1" ht="8.4499999999999993"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s="6" customFormat="1" ht="8.4499999999999993"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s="6" customFormat="1" ht="8.4499999999999993"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6" spans="1:37" s="6" customFormat="1" ht="8.4499999999999993"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56" spans="1:37" s="6" customFormat="1" ht="8.4499999999999993"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s="6" customFormat="1" ht="8.4499999999999993"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s="6" customFormat="1" ht="8.4499999999999993"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s="6" customFormat="1" ht="8.4499999999999993"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s="6" customFormat="1" ht="8.4499999999999993"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2" spans="1:37" s="6" customFormat="1" ht="8.4499999999999993"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311" spans="1:37" s="6" customFormat="1" ht="8.4499999999999993"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s="6" customFormat="1" ht="8.4499999999999993"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s="6" customFormat="1" ht="8.4499999999999993"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s="6" customFormat="1" ht="8.4499999999999993"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s="6" customFormat="1" ht="8.4499999999999993"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7" spans="1:37" s="6" customFormat="1" ht="8.4499999999999993"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67" spans="1:37" s="6" customFormat="1" ht="8.4499999999999993"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s="6" customFormat="1" ht="8.4499999999999993"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s="6" customFormat="1" ht="8.4499999999999993"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s="6" customFormat="1" ht="8.4499999999999993"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s="6" customFormat="1" ht="8.4499999999999993"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3" spans="1:37" s="6" customFormat="1" ht="8.4499999999999993"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426" spans="1:37" s="6" customFormat="1" ht="8.4499999999999993"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s="6" customFormat="1" ht="8.4499999999999993"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s="6" customFormat="1" ht="8.4499999999999993"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s="6" customFormat="1" ht="8.4499999999999993"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s="6" customFormat="1" ht="8.4499999999999993"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2" spans="1:37" s="6" customFormat="1" ht="8.4499999999999993"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83" spans="1:37" s="6" customFormat="1" ht="8.4499999999999993"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s="6" customFormat="1" ht="8.4499999999999993"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s="6" customFormat="1" ht="8.4499999999999993"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s="6" customFormat="1" ht="8.4499999999999993"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s="6" customFormat="1" ht="8.4499999999999993"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9" spans="1:37" s="6" customFormat="1" ht="8.4499999999999993"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538" spans="1:37" s="6" customFormat="1" ht="8.4499999999999993"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s="6" customFormat="1" ht="8.4499999999999993"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s="6" customFormat="1" ht="8.4499999999999993"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s="6" customFormat="1" ht="8.4499999999999993"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s="6" customFormat="1" ht="8.4499999999999993"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4" spans="1:37" s="6" customFormat="1" ht="8.4499999999999993"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635" spans="1:37" s="6" customFormat="1" ht="8.4499999999999993"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45" spans="1:37" s="6" customFormat="1" ht="8.4499999999999993"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s="6" customFormat="1" ht="8.4499999999999993"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s="6" customFormat="1" ht="8.4499999999999993"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s="6" customFormat="1" ht="8.4499999999999993"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s="6" customFormat="1" ht="8.4499999999999993"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1" spans="1:37" s="6" customFormat="1" ht="8.4499999999999993"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98" spans="1:37" s="6" customFormat="1" ht="8.4499999999999993"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s="6" customFormat="1" ht="8.4499999999999993"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s="6" customFormat="1" ht="8.4499999999999993"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s="6" customFormat="1" ht="8.4499999999999993"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s="6" customFormat="1" ht="8.4499999999999993"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4" spans="1:37" s="6" customFormat="1" ht="8.4499999999999993"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54" spans="1:37" s="6" customFormat="1" ht="8.4499999999999993"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s="6" customFormat="1" ht="8.4499999999999993"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s="6" customFormat="1" ht="8.4499999999999993"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s="6" customFormat="1" ht="8.4499999999999993"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s="6" customFormat="1" ht="8.4499999999999993"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60" spans="1:37" s="6" customFormat="1" ht="8.4499999999999993"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809" spans="1:37" s="6" customFormat="1" ht="8.4499999999999993"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s="6" customFormat="1" ht="8.4499999999999993"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s="6" customFormat="1" ht="8.4499999999999993"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s="6" customFormat="1" ht="8.4499999999999993"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s="6" customFormat="1" ht="8.4499999999999993"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5" spans="1:37" s="6" customFormat="1" ht="8.4499999999999993"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65" spans="1:37" s="6" customFormat="1" ht="8.4499999999999993"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s="6" customFormat="1" ht="8.4499999999999993"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s="6" customFormat="1" ht="8.4499999999999993"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s="6" customFormat="1" ht="8.4499999999999993"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s="6" customFormat="1" ht="8.4499999999999993"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1" spans="1:37" s="6" customFormat="1" ht="8.4499999999999993"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920" spans="1:37" s="6" customFormat="1" ht="8.4499999999999993"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s="6" customFormat="1" ht="8.4499999999999993"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s="6" customFormat="1" ht="8.4499999999999993"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s="6" customFormat="1" ht="8.4499999999999993"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s="6" customFormat="1" ht="8.4499999999999993"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6" spans="1:37" s="6" customFormat="1" ht="8.4499999999999993"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75" spans="1:37" s="6" customFormat="1" ht="8.4499999999999993"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spans="1:37" s="6" customFormat="1" ht="8.4499999999999993"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spans="1:37" s="6" customFormat="1" ht="8.4499999999999993"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spans="1:37" s="6" customFormat="1" ht="8.4499999999999993"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spans="1:37" s="6" customFormat="1" ht="8.4499999999999993"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1" spans="1:37" s="6" customFormat="1" ht="8.4499999999999993"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1033" spans="1:37" s="6" customFormat="1" ht="8.4499999999999993" customHeight="1"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row>
    <row r="1034" spans="1:37" s="6" customFormat="1" ht="8.4499999999999993" customHeight="1"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row>
    <row r="1035" spans="1:37" s="6" customFormat="1" ht="8.4499999999999993" customHeight="1"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row>
    <row r="1036" spans="1:37" s="6" customFormat="1" ht="8.4499999999999993" customHeight="1"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row>
    <row r="1037" spans="1:37" s="6" customFormat="1" ht="8.4499999999999993" customHeight="1"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row>
    <row r="1039" spans="1:37" s="6" customFormat="1" ht="8.4499999999999993" customHeight="1"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row>
    <row r="1091" spans="1:37" s="6" customFormat="1" ht="8.4499999999999993" customHeight="1"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row>
    <row r="1092" spans="1:37" s="6" customFormat="1" ht="8.4499999999999993" customHeight="1"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row>
    <row r="1093" spans="1:37" s="6" customFormat="1" ht="8.4499999999999993" customHeight="1"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row>
    <row r="1094" spans="1:37" s="6" customFormat="1" ht="8.4499999999999993" customHeight="1"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row>
    <row r="1095" spans="1:37" s="6" customFormat="1" ht="8.4499999999999993" customHeight="1"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row>
    <row r="1097" spans="1:37" s="6" customFormat="1" ht="8.4499999999999993" customHeight="1"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row>
    <row r="1145" spans="1:37" s="6" customFormat="1" ht="8.4499999999999993" customHeight="1" x14ac:dyDescent="0.2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row>
    <row r="1146" spans="1:37" s="6" customFormat="1" ht="8.4499999999999993" customHeight="1" x14ac:dyDescent="0.2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row>
    <row r="1147" spans="1:37" s="6" customFormat="1" ht="8.4499999999999993" customHeight="1" x14ac:dyDescent="0.2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row>
    <row r="1148" spans="1:37" s="6" customFormat="1" ht="8.4499999999999993" customHeight="1" x14ac:dyDescent="0.2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row>
    <row r="1149" spans="1:37" s="6" customFormat="1" ht="8.4499999999999993" customHeight="1" x14ac:dyDescent="0.2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row>
    <row r="1151" spans="1:37" s="6" customFormat="1" ht="8.4499999999999993" customHeight="1"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row>
    <row r="1202" spans="1:37" s="6" customFormat="1" ht="8.4499999999999993" customHeight="1" x14ac:dyDescent="0.2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row>
    <row r="1203" spans="1:37" s="6" customFormat="1" ht="8.4499999999999993" customHeight="1" x14ac:dyDescent="0.25">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row>
    <row r="1204" spans="1:37" s="6" customFormat="1" ht="8.4499999999999993" customHeight="1" x14ac:dyDescent="0.2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row>
    <row r="1205" spans="1:37" s="6" customFormat="1" ht="8.4499999999999993" customHeight="1" x14ac:dyDescent="0.2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row>
    <row r="1206" spans="1:37" s="6" customFormat="1" ht="8.4499999999999993" customHeight="1" x14ac:dyDescent="0.25">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row>
    <row r="1208" spans="1:37" s="6" customFormat="1" ht="8.4499999999999993" customHeight="1" x14ac:dyDescent="0.25">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row>
    <row r="1263" spans="1:37" s="6" customFormat="1" ht="8.4499999999999993" customHeight="1" x14ac:dyDescent="0.2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row>
    <row r="1264" spans="1:37" s="6" customFormat="1" ht="8.4499999999999993" customHeight="1" x14ac:dyDescent="0.2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row>
    <row r="1265" spans="1:37" s="6" customFormat="1" ht="8.4499999999999993" customHeight="1" x14ac:dyDescent="0.2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row>
    <row r="1266" spans="1:37" s="6" customFormat="1" ht="8.4499999999999993" customHeight="1" x14ac:dyDescent="0.2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row>
    <row r="1267" spans="1:37" s="6" customFormat="1" ht="8.4499999999999993" customHeight="1" x14ac:dyDescent="0.2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row>
    <row r="1269" spans="1:37" s="6" customFormat="1" ht="8.4499999999999993" customHeight="1" x14ac:dyDescent="0.2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row>
  </sheetData>
  <mergeCells count="20">
    <mergeCell ref="X21:Y21"/>
    <mergeCell ref="D4:AH4"/>
    <mergeCell ref="I8:L8"/>
    <mergeCell ref="V8:X8"/>
    <mergeCell ref="AG8:AH8"/>
    <mergeCell ref="V9:X9"/>
    <mergeCell ref="AG9:AH9"/>
    <mergeCell ref="H10:K10"/>
    <mergeCell ref="V10:X10"/>
    <mergeCell ref="AG10:AH10"/>
    <mergeCell ref="AG11:AH11"/>
    <mergeCell ref="Q19:W19"/>
    <mergeCell ref="D45:AH45"/>
    <mergeCell ref="D46:AH49"/>
    <mergeCell ref="H24:J24"/>
    <mergeCell ref="F35:J35"/>
    <mergeCell ref="F41:J41"/>
    <mergeCell ref="Q41:W41"/>
    <mergeCell ref="D43:J43"/>
    <mergeCell ref="AC43:AG43"/>
  </mergeCells>
  <pageMargins left="0.12" right="0.14000000000000001" top="0.26" bottom="0.75" header="0.14000000000000001"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PAYSLIP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bufile@outlook.com</dc:creator>
  <cp:lastModifiedBy>IT STAFF 5</cp:lastModifiedBy>
  <cp:lastPrinted>2026-03-04T03:19:56Z</cp:lastPrinted>
  <dcterms:created xsi:type="dcterms:W3CDTF">2026-03-04T03:15:56Z</dcterms:created>
  <dcterms:modified xsi:type="dcterms:W3CDTF">2026-03-07T02:17:05Z</dcterms:modified>
</cp:coreProperties>
</file>